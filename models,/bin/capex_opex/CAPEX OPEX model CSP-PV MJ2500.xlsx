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cpra_ug_kth_se/Documents/1. Large Scale Solar/Project/Hybrid/capex_opex/"/>
    </mc:Choice>
  </mc:AlternateContent>
  <xr:revisionPtr revIDLastSave="202" documentId="13_ncr:1_{9FD52593-6C02-47B5-BD91-236134B88235}" xr6:coauthVersionLast="47" xr6:coauthVersionMax="47" xr10:uidLastSave="{B198F97F-0BB9-4139-9284-9E4646E1EA5A}"/>
  <bookViews>
    <workbookView xWindow="-98" yWindow="-98" windowWidth="21795" windowHeight="13875" activeTab="1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19" l="1"/>
  <c r="F52" i="19"/>
  <c r="D52" i="19"/>
  <c r="D50" i="19"/>
  <c r="B5" i="19"/>
  <c r="A5" i="19"/>
  <c r="B5" i="20"/>
  <c r="A5" i="20"/>
  <c r="B62" i="20"/>
  <c r="F42" i="20"/>
  <c r="F40" i="19"/>
  <c r="A20" i="20"/>
  <c r="B20" i="20"/>
  <c r="C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A35" i="20"/>
  <c r="B34" i="20"/>
  <c r="A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F26" i="19"/>
  <c r="C9" i="20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C19" i="20"/>
  <c r="B19" i="20"/>
  <c r="A19" i="20"/>
  <c r="C18" i="20"/>
  <c r="B18" i="20"/>
  <c r="A18" i="20"/>
  <c r="C17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10" i="20"/>
  <c r="C8" i="20"/>
  <c r="C7" i="20"/>
  <c r="C6" i="20"/>
  <c r="C5" i="20"/>
  <c r="C53" i="20" s="1"/>
  <c r="C4" i="20"/>
  <c r="C50" i="20" l="1"/>
  <c r="C56" i="20"/>
  <c r="F44" i="20"/>
  <c r="F43" i="20"/>
  <c r="F39" i="20"/>
  <c r="F38" i="20"/>
  <c r="F33" i="20"/>
  <c r="F30" i="20"/>
  <c r="F29" i="20"/>
  <c r="F28" i="20"/>
  <c r="F27" i="20"/>
  <c r="C16" i="20"/>
  <c r="B16" i="20"/>
  <c r="B33" i="20" s="1"/>
  <c r="A16" i="20"/>
  <c r="C15" i="20"/>
  <c r="B15" i="20"/>
  <c r="A15" i="20"/>
  <c r="C11" i="20"/>
  <c r="C62" i="20" s="1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C69" i="19" s="1"/>
  <c r="D69" i="19" s="1"/>
  <c r="F69" i="19" s="1"/>
  <c r="B15" i="19"/>
  <c r="A15" i="19"/>
  <c r="C11" i="19"/>
  <c r="C67" i="19" s="1"/>
  <c r="D67" i="19" s="1"/>
  <c r="F67" i="19" s="1"/>
  <c r="B11" i="19"/>
  <c r="A11" i="19"/>
  <c r="C10" i="19"/>
  <c r="C56" i="19" s="1"/>
  <c r="D56" i="19" s="1"/>
  <c r="C8" i="19"/>
  <c r="C55" i="19" s="1"/>
  <c r="D55" i="19" s="1"/>
  <c r="F55" i="19" s="1"/>
  <c r="C7" i="19"/>
  <c r="C54" i="19" s="1"/>
  <c r="D54" i="19" s="1"/>
  <c r="F54" i="19" s="1"/>
  <c r="C6" i="19"/>
  <c r="C52" i="19" s="1"/>
  <c r="C5" i="19"/>
  <c r="C53" i="19" s="1"/>
  <c r="C4" i="19"/>
  <c r="C51" i="19" s="1"/>
  <c r="D51" i="19" s="1"/>
  <c r="C58" i="20" l="1"/>
  <c r="D58" i="20" s="1"/>
  <c r="F58" i="20" s="1"/>
  <c r="C54" i="20"/>
  <c r="D54" i="20" s="1"/>
  <c r="F54" i="20" s="1"/>
  <c r="D53" i="19"/>
  <c r="F53" i="19" s="1"/>
  <c r="C50" i="19"/>
  <c r="F56" i="19"/>
  <c r="C66" i="19"/>
  <c r="D66" i="19" s="1"/>
  <c r="F66" i="19" s="1"/>
  <c r="C65" i="19"/>
  <c r="D65" i="19" s="1"/>
  <c r="C68" i="19"/>
  <c r="D68" i="19" s="1"/>
  <c r="F68" i="19" s="1"/>
  <c r="D62" i="20" l="1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C57" i="20" l="1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<sst xmlns="http://schemas.openxmlformats.org/spreadsheetml/2006/main" count="436" uniqueCount="168">
  <si>
    <t>Reference Cost</t>
  </si>
  <si>
    <t>Solar Field Maintenance Labor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</si>
  <si>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</si>
  <si>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</si>
  <si>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</si>
  <si>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</si>
  <si>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</si>
  <si>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</si>
  <si>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</si>
  <si>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</si>
  <si>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</si>
  <si>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</si>
  <si>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</si>
  <si>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</si>
  <si>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</si>
  <si>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</si>
  <si>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</si>
  <si>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</si>
  <si>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</si>
  <si>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</si>
  <si>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</si>
  <si>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</si>
  <si>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</si>
  <si>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</si>
  <si>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</si>
  <si>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</si>
  <si>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</si>
  <si>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</si>
  <si>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</si>
  <si>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</si>
  <si>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</si>
  <si>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</si>
  <si>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</si>
  <si>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</si>
  <si>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</si>
  <si>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</si>
  <si>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</si>
  <si>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</si>
  <si>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</si>
  <si>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</si>
  <si>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</si>
  <si>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</si>
  <si>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Plant Operations Labor</t>
  </si>
  <si>
    <t>Plant Maintenance Labor</t>
  </si>
  <si>
    <t>USD</t>
  </si>
  <si>
    <t>Labor Costs</t>
  </si>
  <si>
    <t xml:space="preserve">Admin/Finance &amp; Management </t>
  </si>
  <si>
    <t>Service Costs</t>
  </si>
  <si>
    <t>Subcontracted Services</t>
  </si>
  <si>
    <t>Utilitiy Costs</t>
  </si>
  <si>
    <t>Spare Parts</t>
  </si>
  <si>
    <t>Electricity</t>
  </si>
  <si>
    <t>Water</t>
  </si>
  <si>
    <t>Machinery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</si>
  <si>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</si>
  <si>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</si>
  <si>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</si>
  <si>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</si>
  <si>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</si>
  <si>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</si>
  <si>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</si>
  <si>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</si>
  <si>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</si>
  <si>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</si>
  <si>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</si>
  <si>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</si>
  <si>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</si>
  <si>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</si>
  <si>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</si>
  <si>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</si>
  <si>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</si>
  <si>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</si>
  <si>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</si>
  <si>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</si>
  <si>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</si>
  <si>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</si>
  <si>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</si>
  <si>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</si>
  <si>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</si>
  <si>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</si>
  <si>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</si>
  <si>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</si>
  <si>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</si>
  <si>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</si>
  <si>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</si>
  <si>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</si>
  <si>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</si>
  <si>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</si>
  <si>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</si>
  <si>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</si>
  <si>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</si>
  <si>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</si>
  <si>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</si>
  <si>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</si>
  <si>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</si>
  <si>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</si>
  <si>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</si>
  <si>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</si>
  <si>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</si>
  <si>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</si>
  <si>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</si>
  <si>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</si>
  <si>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</si>
  <si>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</si>
  <si>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</si>
  <si>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</si>
  <si>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</si>
  <si>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</si>
  <si>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</si>
  <si>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</si>
  <si>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</si>
  <si>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</si>
  <si>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</si>
  <si>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</si>
  <si>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</si>
  <si>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</si>
  <si>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</si>
  <si>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</si>
  <si>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</si>
  <si>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</si>
  <si>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</si>
  <si>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</si>
  <si>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</si>
  <si>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</si>
  <si>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</si>
  <si>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</si>
  <si>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</si>
  <si>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</si>
  <si>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</si>
  <si>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</si>
  <si>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</si>
  <si>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</si>
  <si>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</si>
  <si>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</si>
  <si>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</si>
  <si>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</si>
  <si>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</si>
  <si>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</si>
  <si>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</si>
  <si>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</si>
  <si>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</si>
  <si>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</si>
  <si>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</si>
  <si>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</si>
  <si>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</si>
  <si>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</si>
  <si>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</si>
  <si>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</si>
  <si>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</si>
  <si>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</si>
  <si>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Costs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</si>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</sst>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87.5</c:v>
                </c:pt>
                <c:pt idx="1">
                  <c:v>139.66747127594212</c:v>
                </c:pt>
                <c:pt idx="2">
                  <c:v>66.004842511381426</c:v>
                </c:pt>
                <c:pt idx="3">
                  <c:v>59.896505000000005</c:v>
                </c:pt>
                <c:pt idx="4">
                  <c:v>44.684715691672999</c:v>
                </c:pt>
                <c:pt idx="5">
                  <c:v>30</c:v>
                </c:pt>
                <c:pt idx="6">
                  <c:v>4.3838329055408698</c:v>
                </c:pt>
                <c:pt idx="7">
                  <c:v>13.999999999999998</c:v>
                </c:pt>
                <c:pt idx="8">
                  <c:v>6</c:v>
                </c:pt>
                <c:pt idx="9">
                  <c:v>2.4</c:v>
                </c:pt>
                <c:pt idx="10">
                  <c:v>5</c:v>
                </c:pt>
                <c:pt idx="11">
                  <c:v>10</c:v>
                </c:pt>
                <c:pt idx="12">
                  <c:v>33.75</c:v>
                </c:pt>
                <c:pt idx="13">
                  <c:v>90.914999999999992</c:v>
                </c:pt>
                <c:pt idx="14">
                  <c:v>0</c:v>
                </c:pt>
                <c:pt idx="15">
                  <c:v>81.098327999999995</c:v>
                </c:pt>
                <c:pt idx="16">
                  <c:v>27.032776000000002</c:v>
                </c:pt>
                <c:pt idx="17">
                  <c:v>81.098327999999995</c:v>
                </c:pt>
                <c:pt idx="18">
                  <c:v>54.065552000000004</c:v>
                </c:pt>
                <c:pt idx="19">
                  <c:v>2</c:v>
                </c:pt>
                <c:pt idx="20">
                  <c:v>83.949735138453761</c:v>
                </c:pt>
                <c:pt idx="21">
                  <c:v>64.641296056609391</c:v>
                </c:pt>
                <c:pt idx="22">
                  <c:v>0</c:v>
                </c:pt>
                <c:pt idx="23">
                  <c:v>129.28259211321878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338718.18181818182</c:v>
                </c:pt>
                <c:pt idx="1">
                  <c:v>1958073.7777269871</c:v>
                </c:pt>
                <c:pt idx="2">
                  <c:v>419587.23808435444</c:v>
                </c:pt>
                <c:pt idx="3">
                  <c:v>110073.22826269297</c:v>
                </c:pt>
                <c:pt idx="4">
                  <c:v>123017.24941492839</c:v>
                </c:pt>
                <c:pt idx="5">
                  <c:v>2471727.2727272729</c:v>
                </c:pt>
                <c:pt idx="6">
                  <c:v>1770855.2727272727</c:v>
                </c:pt>
                <c:pt idx="7">
                  <c:v>317021.46877484553</c:v>
                </c:pt>
                <c:pt idx="8">
                  <c:v>718649.60588441882</c:v>
                </c:pt>
                <c:pt idx="9">
                  <c:v>1035000</c:v>
                </c:pt>
                <c:pt idx="10">
                  <c:v>840000</c:v>
                </c:pt>
                <c:pt idx="11">
                  <c:v>0</c:v>
                </c:pt>
                <c:pt idx="12">
                  <c:v>4292662.22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87.5</c:v>
                </c:pt>
                <c:pt idx="1">
                  <c:v>139.66747127594212</c:v>
                </c:pt>
                <c:pt idx="2">
                  <c:v>66.004842511381426</c:v>
                </c:pt>
                <c:pt idx="3">
                  <c:v>59.896505000000005</c:v>
                </c:pt>
                <c:pt idx="4">
                  <c:v>44.684715691672999</c:v>
                </c:pt>
                <c:pt idx="5">
                  <c:v>30</c:v>
                </c:pt>
                <c:pt idx="6">
                  <c:v>4.3838329055408698</c:v>
                </c:pt>
                <c:pt idx="7">
                  <c:v>13.999999999999998</c:v>
                </c:pt>
                <c:pt idx="8">
                  <c:v>6</c:v>
                </c:pt>
                <c:pt idx="9">
                  <c:v>2.4</c:v>
                </c:pt>
                <c:pt idx="10">
                  <c:v>5</c:v>
                </c:pt>
                <c:pt idx="11">
                  <c:v>10</c:v>
                </c:pt>
                <c:pt idx="12">
                  <c:v>33.75</c:v>
                </c:pt>
                <c:pt idx="13">
                  <c:v>90.914999999999992</c:v>
                </c:pt>
                <c:pt idx="14">
                  <c:v>0</c:v>
                </c:pt>
                <c:pt idx="15">
                  <c:v>81.098327999999995</c:v>
                </c:pt>
                <c:pt idx="16">
                  <c:v>27.032776000000002</c:v>
                </c:pt>
                <c:pt idx="17">
                  <c:v>81.098327999999995</c:v>
                </c:pt>
                <c:pt idx="18">
                  <c:v>54.065552000000004</c:v>
                </c:pt>
                <c:pt idx="19">
                  <c:v>2</c:v>
                </c:pt>
                <c:pt idx="20">
                  <c:v>83.949735138453761</c:v>
                </c:pt>
                <c:pt idx="21">
                  <c:v>64.641296056609391</c:v>
                </c:pt>
                <c:pt idx="22">
                  <c:v>0</c:v>
                </c:pt>
                <c:pt idx="23">
                  <c:v>129.28259211321878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338718.18181818182</c:v>
                </c:pt>
                <c:pt idx="1">
                  <c:v>1958073.7777269871</c:v>
                </c:pt>
                <c:pt idx="2">
                  <c:v>419587.23808435444</c:v>
                </c:pt>
                <c:pt idx="3">
                  <c:v>110073.22826269297</c:v>
                </c:pt>
                <c:pt idx="4">
                  <c:v>123017.24941492839</c:v>
                </c:pt>
                <c:pt idx="5">
                  <c:v>2471727.2727272729</c:v>
                </c:pt>
                <c:pt idx="6">
                  <c:v>1770855.2727272727</c:v>
                </c:pt>
                <c:pt idx="7">
                  <c:v>317021.46877484553</c:v>
                </c:pt>
                <c:pt idx="8">
                  <c:v>718649.60588441882</c:v>
                </c:pt>
                <c:pt idx="9">
                  <c:v>1035000</c:v>
                </c:pt>
                <c:pt idx="10">
                  <c:v>840000</c:v>
                </c:pt>
                <c:pt idx="11">
                  <c:v>0</c:v>
                </c:pt>
                <c:pt idx="12">
                  <c:v>4292662.22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26"/>
  <sheetViews>
    <sheetView topLeftCell="A16" zoomScale="116" zoomScaleNormal="100" workbookViewId="0">
      <selection activeCell="B26" sqref="B26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2" spans="1:9" x14ac:dyDescent="0.45">
      <c r="A2" s="52" t="s">
        <v>59</v>
      </c>
      <c r="B2" s="52"/>
      <c r="C2" s="52"/>
      <c r="E2" s="29"/>
      <c r="G2" s="52" t="s">
        <v>156</v>
      </c>
      <c r="H2" s="52"/>
      <c r="I2" s="52"/>
    </row>
    <row r="3" spans="1:9" x14ac:dyDescent="0.45">
      <c r="A3" s="53" t="s">
        <v>58</v>
      </c>
      <c r="B3" s="53"/>
      <c r="C3" s="53"/>
      <c r="E3" s="29"/>
      <c r="G3" s="5" t="s">
        <v>158</v>
      </c>
      <c r="H3" s="6" t="s">
        <v>40</v>
      </c>
      <c r="I3" s="51">
        <v>80</v>
      </c>
    </row>
    <row r="4" spans="1:9" x14ac:dyDescent="0.45">
      <c r="A4" s="5" t="s">
        <v>117</v>
      </c>
      <c r="B4" s="6" t="s">
        <v>14</v>
      </c>
      <c r="C4" s="28">
        <v>190000</v>
      </c>
      <c r="F4" s="36"/>
      <c r="G4" s="5" t="s">
        <v>157</v>
      </c>
      <c r="H4" s="6" t="s">
        <v>40</v>
      </c>
      <c r="I4" s="51">
        <v>20</v>
      </c>
    </row>
    <row r="5" spans="1:9" x14ac:dyDescent="0.45">
      <c r="A5" s="5" t="s">
        <v>154</v>
      </c>
      <c r="B5" s="6" t="s">
        <v>7</v>
      </c>
      <c r="C5" s="28">
        <v>507597.5</v>
      </c>
      <c r="F5" s="36"/>
      <c r="G5" s="5" t="s">
        <v>160</v>
      </c>
      <c r="H5" s="6" t="s">
        <v>40</v>
      </c>
      <c r="I5" s="51">
        <v>5</v>
      </c>
    </row>
    <row r="6" spans="1:9" x14ac:dyDescent="0.45">
      <c r="A6" s="5" t="s">
        <v>9</v>
      </c>
      <c r="B6" s="6" t="s">
        <v>10</v>
      </c>
      <c r="C6" s="28">
        <v>3271.3</v>
      </c>
      <c r="F6" s="36"/>
      <c r="G6" s="5" t="s">
        <v>159</v>
      </c>
      <c r="H6" s="6" t="s">
        <v>40</v>
      </c>
      <c r="I6" s="51">
        <v>8</v>
      </c>
    </row>
    <row r="7" spans="1:9" x14ac:dyDescent="0.45">
      <c r="A7" s="5" t="s">
        <v>3</v>
      </c>
      <c r="B7" s="6" t="s">
        <v>8</v>
      </c>
      <c r="C7" s="28">
        <v>200</v>
      </c>
      <c r="D7" s="41" t="s">
        <v>108</v>
      </c>
      <c r="F7" s="36"/>
      <c r="G7" s="5" t="s">
        <v>167</v>
      </c>
      <c r="H7" s="6" t="s">
        <v>163</v>
      </c>
      <c r="I7" s="51">
        <v>30</v>
      </c>
    </row>
    <row r="8" spans="1:9" x14ac:dyDescent="0.45">
      <c r="A8" s="5" t="s">
        <v>5</v>
      </c>
      <c r="B8" s="6" t="s">
        <v>11</v>
      </c>
      <c r="C8" s="28">
        <v>200</v>
      </c>
      <c r="D8" s="41" t="s">
        <v>108</v>
      </c>
      <c r="F8" s="36"/>
      <c r="G8" s="5" t="s">
        <v>164</v>
      </c>
      <c r="H8" s="6" t="s">
        <v>163</v>
      </c>
      <c r="I8" s="51">
        <v>2</v>
      </c>
    </row>
    <row r="9" spans="1:9" x14ac:dyDescent="0.45">
      <c r="A9" s="5" t="s">
        <v>128</v>
      </c>
      <c r="B9" s="6" t="s">
        <v>134</v>
      </c>
      <c r="C9" s="28">
        <v>200000</v>
      </c>
      <c r="D9" s="41" t="s">
        <v>129</v>
      </c>
      <c r="F9" s="36"/>
      <c r="G9" s="5" t="s">
        <v>165</v>
      </c>
      <c r="H9" s="6" t="s">
        <v>13</v>
      </c>
      <c r="I9" s="51">
        <v>0</v>
      </c>
    </row>
    <row r="10" spans="1:9" x14ac:dyDescent="0.45">
      <c r="A10" s="5" t="s">
        <v>78</v>
      </c>
      <c r="B10" s="6" t="s">
        <v>7</v>
      </c>
      <c r="C10" s="28">
        <v>2000000</v>
      </c>
      <c r="F10" s="36"/>
      <c r="G10" s="5" t="s">
        <v>166</v>
      </c>
      <c r="H10" s="6" t="s">
        <v>163</v>
      </c>
      <c r="I10" s="51">
        <v>0</v>
      </c>
    </row>
    <row r="11" spans="1:9" x14ac:dyDescent="0.45">
      <c r="A11" s="5" t="s">
        <v>79</v>
      </c>
      <c r="B11" s="6" t="s">
        <v>73</v>
      </c>
      <c r="C11" s="28">
        <v>270327760</v>
      </c>
      <c r="F11" s="36"/>
      <c r="G11" s="5" t="s">
        <v>161</v>
      </c>
      <c r="H11" s="6" t="s">
        <v>28</v>
      </c>
      <c r="I11" s="51" t="s">
        <v>28</v>
      </c>
    </row>
    <row r="12" spans="1:9" x14ac:dyDescent="0.45">
      <c r="A12" s="5" t="s">
        <v>135</v>
      </c>
      <c r="B12" s="6" t="s">
        <v>131</v>
      </c>
      <c r="C12" s="28">
        <v>150</v>
      </c>
      <c r="D12" s="41" t="s">
        <v>127</v>
      </c>
      <c r="F12" s="36"/>
      <c r="G12" s="5" t="s">
        <v>162</v>
      </c>
      <c r="H12" s="6" t="s">
        <v>28</v>
      </c>
      <c r="I12" s="51" t="s">
        <v>28</v>
      </c>
    </row>
    <row r="13" spans="1:9" x14ac:dyDescent="0.45">
      <c r="A13" s="5" t="s">
        <v>136</v>
      </c>
      <c r="B13" s="6" t="s">
        <v>126</v>
      </c>
      <c r="C13" s="28">
        <v>300</v>
      </c>
      <c r="D13" s="41" t="s">
        <v>127</v>
      </c>
    </row>
    <row r="14" spans="1:9" x14ac:dyDescent="0.45">
      <c r="A14" s="5" t="s">
        <v>140</v>
      </c>
      <c r="B14" s="6" t="s">
        <v>62</v>
      </c>
      <c r="C14" s="28">
        <v>400</v>
      </c>
      <c r="D14" s="41" t="s">
        <v>127</v>
      </c>
    </row>
    <row r="15" spans="1:9" x14ac:dyDescent="0.45">
      <c r="A15" s="5" t="s">
        <v>80</v>
      </c>
      <c r="B15" s="6" t="s">
        <v>7</v>
      </c>
      <c r="C15" s="28">
        <v>1000000</v>
      </c>
    </row>
    <row r="16" spans="1:9" x14ac:dyDescent="0.45">
      <c r="A16" s="5" t="s">
        <v>82</v>
      </c>
      <c r="B16" s="6" t="s">
        <v>62</v>
      </c>
      <c r="C16" s="28">
        <v>213.85</v>
      </c>
    </row>
    <row r="17" spans="1:16" x14ac:dyDescent="0.45">
      <c r="A17" s="5" t="s">
        <v>104</v>
      </c>
      <c r="B17" s="6" t="s">
        <v>111</v>
      </c>
      <c r="C17" s="28">
        <v>4</v>
      </c>
      <c r="D17" s="41"/>
    </row>
    <row r="18" spans="1:16" x14ac:dyDescent="0.45">
      <c r="A18" s="5" t="s">
        <v>105</v>
      </c>
      <c r="B18" s="6" t="s">
        <v>111</v>
      </c>
      <c r="C18" s="28">
        <v>3</v>
      </c>
    </row>
    <row r="19" spans="1:16" x14ac:dyDescent="0.45">
      <c r="A19" s="5" t="s">
        <v>106</v>
      </c>
      <c r="B19" s="6" t="s">
        <v>111</v>
      </c>
      <c r="C19" s="28">
        <v>5</v>
      </c>
      <c r="D19" s="41" t="s">
        <v>109</v>
      </c>
    </row>
    <row r="20" spans="1:16" x14ac:dyDescent="0.45">
      <c r="A20" s="5" t="s">
        <v>107</v>
      </c>
      <c r="B20" s="6" t="s">
        <v>111</v>
      </c>
      <c r="C20" s="28">
        <v>10</v>
      </c>
      <c r="D20" s="41" t="s">
        <v>110</v>
      </c>
    </row>
    <row r="21" spans="1:16" x14ac:dyDescent="0.45">
      <c r="A21" s="5" t="s">
        <v>155</v>
      </c>
      <c r="B21" s="6" t="s">
        <v>147</v>
      </c>
      <c r="C21" s="28">
        <v>0</v>
      </c>
      <c r="D21" s="41" t="s">
        <v>149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37</v>
      </c>
      <c r="B24" s="25">
        <f>CAPEX!N25</f>
        <v>923.4470865229913</v>
      </c>
      <c r="C24" s="23" t="s">
        <v>13</v>
      </c>
      <c r="D24" s="27">
        <f>B24/B26*100</f>
        <v>82.644628099173573</v>
      </c>
      <c r="E24" s="26" t="s">
        <v>40</v>
      </c>
      <c r="G24" s="17"/>
      <c r="H24" s="17"/>
      <c r="I24" s="17"/>
      <c r="J24" s="22" t="s">
        <v>60</v>
      </c>
      <c r="K24" s="18">
        <f>OPEX!N25</f>
        <v>14.395385515420955</v>
      </c>
      <c r="L24" s="21" t="s">
        <v>13</v>
      </c>
      <c r="M24" s="17"/>
      <c r="N24" s="17"/>
      <c r="O24" s="17"/>
      <c r="P24" s="17"/>
    </row>
    <row r="25" spans="1:16" ht="18" x14ac:dyDescent="0.55000000000000004">
      <c r="A25" s="24" t="s">
        <v>38</v>
      </c>
      <c r="B25" s="25">
        <f>CAPEX!N26</f>
        <v>193.92388816982816</v>
      </c>
      <c r="C25" s="23" t="s">
        <v>13</v>
      </c>
      <c r="D25" s="27">
        <f>B25/B26*100</f>
        <v>17.355371900826448</v>
      </c>
      <c r="E25" s="26" t="s">
        <v>40</v>
      </c>
    </row>
    <row r="26" spans="1:16" ht="18" x14ac:dyDescent="0.55000000000000004">
      <c r="A26" s="22" t="s">
        <v>39</v>
      </c>
      <c r="B26" s="18">
        <f>CAPEX!N27</f>
        <v>1117.3709746928193</v>
      </c>
      <c r="C26" s="21" t="s">
        <v>13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tabSelected="1" topLeftCell="A21" zoomScale="85" zoomScaleNormal="85" workbookViewId="0">
      <selection activeCell="C27" sqref="C27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54" t="s">
        <v>143</v>
      </c>
      <c r="B2" s="54"/>
      <c r="C2" s="54"/>
      <c r="E2" s="42" t="s">
        <v>99</v>
      </c>
    </row>
    <row r="3" spans="1:6" x14ac:dyDescent="0.45">
      <c r="A3" s="53" t="s">
        <v>12</v>
      </c>
      <c r="B3" s="53"/>
      <c r="C3" s="53"/>
      <c r="E3" s="40" t="s">
        <v>100</v>
      </c>
    </row>
    <row r="4" spans="1:6" x14ac:dyDescent="0.45">
      <c r="A4" s="5" t="s">
        <v>4</v>
      </c>
      <c r="B4" s="6" t="s">
        <v>14</v>
      </c>
      <c r="C4" s="30">
        <f>'INPUTS - SUMMARY'!C4</f>
        <v>190000</v>
      </c>
      <c r="E4" s="40" t="s">
        <v>119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507597.5</v>
      </c>
      <c r="E5" s="40" t="s">
        <v>101</v>
      </c>
    </row>
    <row r="6" spans="1:6" x14ac:dyDescent="0.45">
      <c r="A6" s="5" t="s">
        <v>9</v>
      </c>
      <c r="B6" s="6" t="s">
        <v>10</v>
      </c>
      <c r="C6" s="30">
        <f>'INPUTS - SUMMARY'!C6</f>
        <v>3271.3</v>
      </c>
      <c r="E6" s="40" t="s">
        <v>120</v>
      </c>
    </row>
    <row r="7" spans="1:6" x14ac:dyDescent="0.45">
      <c r="A7" s="5" t="s">
        <v>3</v>
      </c>
      <c r="B7" s="6" t="s">
        <v>8</v>
      </c>
      <c r="C7" s="30">
        <f>'INPUTS - SUMMARY'!C7</f>
        <v>200</v>
      </c>
      <c r="E7" s="40" t="s">
        <v>103</v>
      </c>
    </row>
    <row r="8" spans="1:6" x14ac:dyDescent="0.45">
      <c r="A8" s="5" t="s">
        <v>5</v>
      </c>
      <c r="B8" s="6" t="s">
        <v>11</v>
      </c>
      <c r="C8" s="30">
        <f>'INPUTS - SUMMARY'!C8</f>
        <v>200</v>
      </c>
      <c r="F8" s="40" t="s">
        <v>121</v>
      </c>
    </row>
    <row r="9" spans="1:6" x14ac:dyDescent="0.45">
      <c r="A9" s="5" t="s">
        <v>128</v>
      </c>
      <c r="B9" s="6" t="s">
        <v>134</v>
      </c>
      <c r="C9" s="30">
        <f>'INPUTS - SUMMARY'!C9</f>
        <v>200000</v>
      </c>
      <c r="F9" s="40" t="s">
        <v>122</v>
      </c>
    </row>
    <row r="10" spans="1:6" x14ac:dyDescent="0.45">
      <c r="A10" s="5" t="s">
        <v>6</v>
      </c>
      <c r="B10" s="6" t="s">
        <v>7</v>
      </c>
      <c r="C10" s="30">
        <f>'INPUTS - SUMMARY'!C10</f>
        <v>2000000</v>
      </c>
      <c r="F10" s="40" t="s">
        <v>118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270327760</v>
      </c>
    </row>
    <row r="12" spans="1:6" x14ac:dyDescent="0.45">
      <c r="A12" s="5" t="s">
        <v>135</v>
      </c>
      <c r="B12" s="6" t="s">
        <v>131</v>
      </c>
      <c r="C12" s="30">
        <f>'INPUTS - SUMMARY'!C12</f>
        <v>150</v>
      </c>
    </row>
    <row r="13" spans="1:6" x14ac:dyDescent="0.45">
      <c r="A13" s="5" t="s">
        <v>136</v>
      </c>
      <c r="B13" s="6" t="s">
        <v>126</v>
      </c>
      <c r="C13" s="30">
        <f>'INPUTS - SUMMARY'!C13</f>
        <v>300</v>
      </c>
    </row>
    <row r="14" spans="1:6" x14ac:dyDescent="0.45">
      <c r="A14" s="5" t="s">
        <v>140</v>
      </c>
      <c r="B14" s="6" t="s">
        <v>62</v>
      </c>
      <c r="C14" s="30">
        <f>'INPUTS - SUMMARY'!C14</f>
        <v>400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1000000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213.85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4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3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5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10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479.53500000000003</v>
      </c>
    </row>
    <row r="24" spans="1:18" ht="21" x14ac:dyDescent="0.65">
      <c r="A24" s="54" t="s">
        <v>41</v>
      </c>
      <c r="B24" s="54"/>
      <c r="C24" s="54"/>
      <c r="D24" s="54"/>
      <c r="E24" s="54"/>
      <c r="F24" s="54"/>
      <c r="G24" s="54"/>
      <c r="I24" s="55" t="s">
        <v>57</v>
      </c>
      <c r="J24" s="55"/>
      <c r="K24" s="55"/>
      <c r="L24" s="55"/>
      <c r="M24" s="55"/>
      <c r="N24" s="55"/>
      <c r="O24" s="55"/>
      <c r="P24" s="55"/>
      <c r="Q24" s="55"/>
      <c r="R24" s="55"/>
    </row>
    <row r="25" spans="1:18" ht="18" x14ac:dyDescent="0.55000000000000004">
      <c r="A25" s="56" t="s">
        <v>12</v>
      </c>
      <c r="B25" s="57"/>
      <c r="C25" s="58"/>
      <c r="D25" s="53" t="s">
        <v>0</v>
      </c>
      <c r="E25" s="53"/>
      <c r="F25" s="53" t="s">
        <v>16</v>
      </c>
      <c r="G25" s="53"/>
      <c r="I25" s="19"/>
      <c r="J25" s="19"/>
      <c r="K25" s="19"/>
      <c r="L25" s="23"/>
      <c r="M25" s="24" t="s">
        <v>37</v>
      </c>
      <c r="N25" s="25">
        <f>D72</f>
        <v>923.4470865229913</v>
      </c>
      <c r="O25" s="23" t="s">
        <v>13</v>
      </c>
      <c r="P25" s="27">
        <f>N25/N27*100</f>
        <v>82.644628099173573</v>
      </c>
      <c r="Q25" s="26" t="s">
        <v>40</v>
      </c>
      <c r="R25" s="19"/>
    </row>
    <row r="26" spans="1:18" ht="18" x14ac:dyDescent="0.55000000000000004">
      <c r="A26" s="5" t="s">
        <v>61</v>
      </c>
      <c r="B26" s="6" t="s">
        <v>14</v>
      </c>
      <c r="C26" s="2">
        <v>190000</v>
      </c>
      <c r="D26" s="3">
        <v>87.5</v>
      </c>
      <c r="E26" s="6" t="s">
        <v>13</v>
      </c>
      <c r="F26" s="4">
        <f>D26*1000000/(C26)</f>
        <v>460.5263157894737</v>
      </c>
      <c r="G26" s="6" t="s">
        <v>15</v>
      </c>
      <c r="I26" s="19"/>
      <c r="J26" s="19"/>
      <c r="K26" s="19"/>
      <c r="L26" s="23"/>
      <c r="M26" s="24" t="s">
        <v>38</v>
      </c>
      <c r="N26" s="25">
        <f>D77</f>
        <v>193.92388816982816</v>
      </c>
      <c r="O26" s="23" t="s">
        <v>13</v>
      </c>
      <c r="P26" s="27">
        <f>N26/N27*100</f>
        <v>17.355371900826448</v>
      </c>
      <c r="Q26" s="26" t="s">
        <v>40</v>
      </c>
      <c r="R26" s="19"/>
    </row>
    <row r="27" spans="1:18" ht="18" x14ac:dyDescent="0.55000000000000004">
      <c r="A27" s="5" t="s">
        <v>152</v>
      </c>
      <c r="B27" s="6" t="s">
        <v>14</v>
      </c>
      <c r="C27" s="2">
        <v>110000</v>
      </c>
      <c r="D27" s="45">
        <v>90.2</v>
      </c>
      <c r="E27" s="6" t="s">
        <v>13</v>
      </c>
      <c r="F27" s="4">
        <f>D27*1000000/(C27)</f>
        <v>820</v>
      </c>
      <c r="G27" s="6" t="s">
        <v>15</v>
      </c>
      <c r="I27" s="20"/>
      <c r="J27" s="20"/>
      <c r="K27" s="20"/>
      <c r="L27" s="21"/>
      <c r="M27" s="22" t="s">
        <v>39</v>
      </c>
      <c r="N27" s="18">
        <f>D78</f>
        <v>1117.3709746928193</v>
      </c>
      <c r="O27" s="21" t="s">
        <v>13</v>
      </c>
      <c r="P27" s="20"/>
      <c r="Q27" s="20"/>
      <c r="R27" s="20"/>
    </row>
    <row r="28" spans="1:18" x14ac:dyDescent="0.45">
      <c r="A28" s="5" t="s">
        <v>153</v>
      </c>
      <c r="B28" s="6" t="s">
        <v>7</v>
      </c>
      <c r="C28" s="2">
        <v>1000000</v>
      </c>
      <c r="D28" s="45">
        <v>118</v>
      </c>
      <c r="E28" s="6" t="s">
        <v>13</v>
      </c>
      <c r="F28" s="4">
        <f>D28*1000000/C28</f>
        <v>118</v>
      </c>
      <c r="G28" s="6" t="s">
        <v>17</v>
      </c>
    </row>
    <row r="29" spans="1:18" x14ac:dyDescent="0.45">
      <c r="A29" s="5" t="s">
        <v>9</v>
      </c>
      <c r="B29" s="6" t="s">
        <v>10</v>
      </c>
      <c r="C29" s="2">
        <v>3271</v>
      </c>
      <c r="D29" s="3">
        <v>66</v>
      </c>
      <c r="E29" s="6" t="s">
        <v>13</v>
      </c>
      <c r="F29" s="4">
        <f>D29*1000000/(C29*1000)</f>
        <v>20.177315805564049</v>
      </c>
      <c r="G29" s="6" t="s">
        <v>18</v>
      </c>
    </row>
    <row r="30" spans="1:18" x14ac:dyDescent="0.45">
      <c r="A30" s="5" t="s">
        <v>3</v>
      </c>
      <c r="B30" s="6" t="s">
        <v>8</v>
      </c>
      <c r="C30" s="2">
        <v>565</v>
      </c>
      <c r="D30" s="3">
        <v>55</v>
      </c>
      <c r="E30" s="6" t="s">
        <v>13</v>
      </c>
      <c r="F30" s="4">
        <f>D30*1000000/C30</f>
        <v>97345.132743362832</v>
      </c>
      <c r="G30" s="6" t="s">
        <v>19</v>
      </c>
    </row>
    <row r="31" spans="1:18" x14ac:dyDescent="0.45">
      <c r="A31" s="5" t="s">
        <v>5</v>
      </c>
      <c r="B31" s="6" t="s">
        <v>11</v>
      </c>
      <c r="C31" s="2">
        <v>200</v>
      </c>
      <c r="D31" s="3">
        <v>30</v>
      </c>
      <c r="E31" s="6" t="s">
        <v>13</v>
      </c>
      <c r="F31" s="4">
        <f>D31*1000000/C31</f>
        <v>150000</v>
      </c>
      <c r="G31" s="6" t="s">
        <v>20</v>
      </c>
    </row>
    <row r="32" spans="1:18" x14ac:dyDescent="0.45">
      <c r="A32" s="5" t="s">
        <v>76</v>
      </c>
      <c r="B32" s="6" t="s">
        <v>7</v>
      </c>
      <c r="C32" s="2">
        <v>5000000</v>
      </c>
      <c r="D32" s="3">
        <v>10</v>
      </c>
      <c r="E32" s="6" t="s">
        <v>13</v>
      </c>
      <c r="F32" s="4">
        <f>D32*1000000/C32</f>
        <v>2</v>
      </c>
      <c r="G32" s="6" t="s">
        <v>17</v>
      </c>
    </row>
    <row r="33" spans="1:7" x14ac:dyDescent="0.45">
      <c r="A33" s="5" t="s">
        <v>130</v>
      </c>
      <c r="B33" s="6" t="s">
        <v>14</v>
      </c>
      <c r="C33" s="2">
        <v>1000000</v>
      </c>
      <c r="D33" s="3">
        <v>70</v>
      </c>
      <c r="E33" s="6" t="s">
        <v>13</v>
      </c>
      <c r="F33" s="4">
        <f>D33*1000000/(C33)</f>
        <v>70</v>
      </c>
      <c r="G33" s="6" t="s">
        <v>133</v>
      </c>
    </row>
    <row r="34" spans="1:7" x14ac:dyDescent="0.45">
      <c r="A34" s="5" t="s">
        <v>112</v>
      </c>
      <c r="B34" s="6" t="s">
        <v>111</v>
      </c>
      <c r="C34" s="2">
        <v>1</v>
      </c>
      <c r="D34" s="3">
        <v>1.5</v>
      </c>
      <c r="E34" s="6" t="s">
        <v>13</v>
      </c>
      <c r="F34" s="4">
        <f>D34/C34</f>
        <v>1.5</v>
      </c>
      <c r="G34" s="6" t="s">
        <v>116</v>
      </c>
    </row>
    <row r="35" spans="1:7" x14ac:dyDescent="0.45">
      <c r="A35" s="5" t="s">
        <v>113</v>
      </c>
      <c r="B35" s="6" t="s">
        <v>111</v>
      </c>
      <c r="C35" s="2">
        <v>1</v>
      </c>
      <c r="D35" s="3">
        <v>1.2</v>
      </c>
      <c r="E35" s="6" t="s">
        <v>13</v>
      </c>
      <c r="F35" s="4">
        <f>D35/C35</f>
        <v>1.2</v>
      </c>
      <c r="G35" s="6" t="s">
        <v>116</v>
      </c>
    </row>
    <row r="36" spans="1:7" x14ac:dyDescent="0.45">
      <c r="A36" s="5" t="s">
        <v>114</v>
      </c>
      <c r="B36" s="6" t="s">
        <v>111</v>
      </c>
      <c r="C36" s="2">
        <v>1</v>
      </c>
      <c r="D36" s="3">
        <v>1</v>
      </c>
      <c r="E36" s="6" t="s">
        <v>13</v>
      </c>
      <c r="F36" s="4">
        <f>D36/C36</f>
        <v>1</v>
      </c>
      <c r="G36" s="6" t="s">
        <v>116</v>
      </c>
    </row>
    <row r="37" spans="1:7" x14ac:dyDescent="0.45">
      <c r="A37" s="5" t="s">
        <v>115</v>
      </c>
      <c r="B37" s="6" t="s">
        <v>111</v>
      </c>
      <c r="C37" s="2">
        <v>1</v>
      </c>
      <c r="D37" s="3">
        <v>1</v>
      </c>
      <c r="E37" s="6" t="s">
        <v>13</v>
      </c>
      <c r="F37" s="4">
        <f>D37/C37</f>
        <v>1</v>
      </c>
      <c r="G37" s="6" t="s">
        <v>116</v>
      </c>
    </row>
    <row r="38" spans="1:7" x14ac:dyDescent="0.45">
      <c r="A38" s="5" t="s">
        <v>135</v>
      </c>
      <c r="B38" s="6" t="s">
        <v>131</v>
      </c>
      <c r="C38" s="2">
        <v>1</v>
      </c>
      <c r="D38" s="3">
        <v>0.22500000000000001</v>
      </c>
      <c r="E38" s="6" t="s">
        <v>13</v>
      </c>
      <c r="F38" s="4">
        <f>D38*1000/C38</f>
        <v>225</v>
      </c>
      <c r="G38" s="6" t="s">
        <v>137</v>
      </c>
    </row>
    <row r="39" spans="1:7" x14ac:dyDescent="0.45">
      <c r="A39" s="5" t="s">
        <v>145</v>
      </c>
      <c r="B39" s="6" t="s">
        <v>126</v>
      </c>
      <c r="C39" s="2">
        <v>1</v>
      </c>
      <c r="D39" s="3">
        <f>0.209*1.45</f>
        <v>0.30304999999999999</v>
      </c>
      <c r="E39" s="6" t="s">
        <v>13</v>
      </c>
      <c r="F39" s="4">
        <f>D39*1000/C39</f>
        <v>303.05</v>
      </c>
      <c r="G39" s="6" t="s">
        <v>132</v>
      </c>
    </row>
    <row r="40" spans="1:7" x14ac:dyDescent="0.45">
      <c r="A40" s="5" t="s">
        <v>146</v>
      </c>
      <c r="B40" s="6" t="s">
        <v>28</v>
      </c>
      <c r="C40" s="2">
        <v>1</v>
      </c>
      <c r="D40" s="3">
        <v>0</v>
      </c>
      <c r="E40" s="6" t="s">
        <v>13</v>
      </c>
      <c r="F40" s="4">
        <f>D40/C40</f>
        <v>0</v>
      </c>
      <c r="G40" s="6" t="s">
        <v>148</v>
      </c>
    </row>
    <row r="41" spans="1:7" x14ac:dyDescent="0.45">
      <c r="A41" s="5" t="s">
        <v>66</v>
      </c>
      <c r="B41" s="6" t="s">
        <v>74</v>
      </c>
      <c r="C41" s="2">
        <v>1000000</v>
      </c>
      <c r="D41" s="45">
        <v>0.3</v>
      </c>
      <c r="E41" s="6" t="s">
        <v>13</v>
      </c>
      <c r="F41" s="4">
        <f>D41*1000000/C41</f>
        <v>0.3</v>
      </c>
      <c r="G41" s="6" t="s">
        <v>75</v>
      </c>
    </row>
    <row r="42" spans="1:7" x14ac:dyDescent="0.45">
      <c r="A42" s="5" t="s">
        <v>68</v>
      </c>
      <c r="B42" s="6" t="s">
        <v>74</v>
      </c>
      <c r="C42" s="2">
        <v>1000000</v>
      </c>
      <c r="D42" s="3">
        <v>0.1</v>
      </c>
      <c r="E42" s="6" t="s">
        <v>13</v>
      </c>
      <c r="F42" s="4">
        <f>D42*1000000/C42</f>
        <v>0.1</v>
      </c>
      <c r="G42" s="6" t="s">
        <v>75</v>
      </c>
    </row>
    <row r="43" spans="1:7" x14ac:dyDescent="0.45">
      <c r="A43" s="5" t="s">
        <v>67</v>
      </c>
      <c r="B43" s="6" t="s">
        <v>74</v>
      </c>
      <c r="C43" s="2">
        <v>1000000</v>
      </c>
      <c r="D43" s="3">
        <v>0.3</v>
      </c>
      <c r="E43" s="6" t="s">
        <v>13</v>
      </c>
      <c r="F43" s="4">
        <f>D43*1000000/C43</f>
        <v>0.3</v>
      </c>
      <c r="G43" s="6" t="s">
        <v>75</v>
      </c>
    </row>
    <row r="44" spans="1:7" x14ac:dyDescent="0.45">
      <c r="A44" s="5" t="s">
        <v>72</v>
      </c>
      <c r="B44" s="6" t="s">
        <v>74</v>
      </c>
      <c r="C44" s="2">
        <v>1000000</v>
      </c>
      <c r="D44" s="3">
        <v>0.2</v>
      </c>
      <c r="E44" s="6" t="s">
        <v>13</v>
      </c>
      <c r="F44" s="4">
        <f>D44*1000000/C44</f>
        <v>0.2</v>
      </c>
      <c r="G44" s="6" t="s">
        <v>75</v>
      </c>
    </row>
    <row r="45" spans="1:7" x14ac:dyDescent="0.45">
      <c r="A45" s="5" t="s">
        <v>77</v>
      </c>
      <c r="B45" s="6" t="s">
        <v>7</v>
      </c>
      <c r="C45" s="2">
        <v>5000</v>
      </c>
      <c r="D45" s="3">
        <v>0.01</v>
      </c>
      <c r="E45" s="6" t="s">
        <v>13</v>
      </c>
      <c r="F45" s="4">
        <f>D45*1000000/C45</f>
        <v>2</v>
      </c>
      <c r="G45" s="6" t="s">
        <v>17</v>
      </c>
    </row>
    <row r="46" spans="1:7" x14ac:dyDescent="0.45">
      <c r="D46" s="44">
        <f>SUM(D41:D44)</f>
        <v>0.89999999999999991</v>
      </c>
      <c r="F46" s="39"/>
    </row>
    <row r="47" spans="1:7" x14ac:dyDescent="0.45">
      <c r="A47" s="68" t="s">
        <v>21</v>
      </c>
      <c r="B47" s="69"/>
      <c r="C47" s="69"/>
      <c r="D47" s="69"/>
      <c r="E47" s="69"/>
      <c r="F47" s="69"/>
      <c r="G47" s="70"/>
    </row>
    <row r="48" spans="1:7" x14ac:dyDescent="0.45">
      <c r="A48" s="59" t="s">
        <v>23</v>
      </c>
      <c r="B48" s="60"/>
      <c r="C48" s="60"/>
      <c r="D48" s="60"/>
      <c r="E48" s="60"/>
      <c r="F48" s="60"/>
      <c r="G48" s="61"/>
    </row>
    <row r="49" spans="1:7" x14ac:dyDescent="0.45">
      <c r="A49" s="5" t="s">
        <v>22</v>
      </c>
      <c r="B49" s="5" t="s">
        <v>25</v>
      </c>
      <c r="C49" s="5" t="s">
        <v>27</v>
      </c>
      <c r="D49" s="56" t="s">
        <v>26</v>
      </c>
      <c r="E49" s="58"/>
      <c r="F49" s="56" t="s">
        <v>31</v>
      </c>
      <c r="G49" s="58"/>
    </row>
    <row r="50" spans="1:7" x14ac:dyDescent="0.45">
      <c r="A50" s="5" t="s">
        <v>91</v>
      </c>
      <c r="B50" s="9">
        <v>0.8</v>
      </c>
      <c r="C50" s="1">
        <f>C4</f>
        <v>190000</v>
      </c>
      <c r="D50" s="4">
        <f>D26*(C50/C26)^B50</f>
        <v>87.5</v>
      </c>
      <c r="E50" s="6" t="s">
        <v>13</v>
      </c>
      <c r="F50" s="4">
        <f>D50*1000000/C50</f>
        <v>460.5263157894737</v>
      </c>
      <c r="G50" s="6" t="s">
        <v>15</v>
      </c>
    </row>
    <row r="51" spans="1:7" x14ac:dyDescent="0.45">
      <c r="A51" s="5" t="s">
        <v>92</v>
      </c>
      <c r="B51" s="9">
        <v>0.8</v>
      </c>
      <c r="C51" s="1">
        <f>C4</f>
        <v>190000</v>
      </c>
      <c r="D51" s="4">
        <f>D27*(C51/C27)^B51</f>
        <v>139.66747127594212</v>
      </c>
      <c r="E51" s="6" t="s">
        <v>13</v>
      </c>
      <c r="F51" s="4">
        <f>D51*1000000/C51</f>
        <v>735.09195408390588</v>
      </c>
      <c r="G51" s="6" t="s">
        <v>15</v>
      </c>
    </row>
    <row r="52" spans="1:7" x14ac:dyDescent="0.45">
      <c r="A52" s="5" t="s">
        <v>93</v>
      </c>
      <c r="B52" s="9">
        <v>0.8</v>
      </c>
      <c r="C52" s="1">
        <f>C6</f>
        <v>3271.3</v>
      </c>
      <c r="D52" s="4">
        <f>D29*(C52/C29)^B52</f>
        <v>66.004842511381426</v>
      </c>
      <c r="E52" s="6" t="s">
        <v>13</v>
      </c>
      <c r="F52" s="4">
        <f>D52*1000000/C52/1000</f>
        <v>20.176945713135886</v>
      </c>
      <c r="G52" s="6" t="s">
        <v>18</v>
      </c>
    </row>
    <row r="53" spans="1:7" x14ac:dyDescent="0.45">
      <c r="A53" s="5" t="s">
        <v>94</v>
      </c>
      <c r="B53" s="9">
        <v>1</v>
      </c>
      <c r="C53" s="1">
        <f>C5</f>
        <v>507597.5</v>
      </c>
      <c r="D53" s="4">
        <f>D28*(C53/C28)^B53</f>
        <v>59.896505000000005</v>
      </c>
      <c r="E53" s="6" t="s">
        <v>13</v>
      </c>
      <c r="F53" s="4">
        <f>D53*1000000/C53</f>
        <v>118.00000000000001</v>
      </c>
      <c r="G53" s="6" t="s">
        <v>17</v>
      </c>
    </row>
    <row r="54" spans="1:7" x14ac:dyDescent="0.45">
      <c r="A54" s="5" t="s">
        <v>95</v>
      </c>
      <c r="B54" s="9">
        <v>0.2</v>
      </c>
      <c r="C54" s="1">
        <f>C7</f>
        <v>200</v>
      </c>
      <c r="D54" s="4">
        <f>D30*(C54/C30)^B54</f>
        <v>44.684715691672999</v>
      </c>
      <c r="E54" s="6" t="s">
        <v>13</v>
      </c>
      <c r="F54" s="4">
        <f>D54*1000000/C54</f>
        <v>223423.57845836497</v>
      </c>
      <c r="G54" s="6" t="s">
        <v>19</v>
      </c>
    </row>
    <row r="55" spans="1:7" x14ac:dyDescent="0.45">
      <c r="A55" s="5" t="s">
        <v>96</v>
      </c>
      <c r="B55" s="9">
        <v>0.8</v>
      </c>
      <c r="C55" s="1">
        <f>C8</f>
        <v>200</v>
      </c>
      <c r="D55" s="4">
        <f>D31*(C55/C31)^B55</f>
        <v>30</v>
      </c>
      <c r="E55" s="6" t="s">
        <v>13</v>
      </c>
      <c r="F55" s="4">
        <f>D55*1000000/C55</f>
        <v>150000</v>
      </c>
      <c r="G55" s="6" t="s">
        <v>20</v>
      </c>
    </row>
    <row r="56" spans="1:7" x14ac:dyDescent="0.45">
      <c r="A56" s="5" t="s">
        <v>71</v>
      </c>
      <c r="B56" s="9">
        <v>0.9</v>
      </c>
      <c r="C56" s="1">
        <f>C10</f>
        <v>2000000</v>
      </c>
      <c r="D56" s="4">
        <f>D32*(C56/C32)^B56</f>
        <v>4.3838329055408698</v>
      </c>
      <c r="E56" s="6" t="s">
        <v>13</v>
      </c>
      <c r="F56" s="4">
        <f>D56*1000000/C56</f>
        <v>2.1919164527704349</v>
      </c>
      <c r="G56" s="6" t="s">
        <v>17</v>
      </c>
    </row>
    <row r="57" spans="1:7" x14ac:dyDescent="0.45">
      <c r="A57" s="5" t="s">
        <v>130</v>
      </c>
      <c r="B57" s="9">
        <v>1</v>
      </c>
      <c r="C57" s="1">
        <f>C9</f>
        <v>200000</v>
      </c>
      <c r="D57" s="4">
        <f>D33/C33*C57</f>
        <v>13.999999999999998</v>
      </c>
      <c r="E57" s="6" t="s">
        <v>13</v>
      </c>
      <c r="F57" s="4">
        <f>D57*1000000/MAX(0.000001,C57)</f>
        <v>69.999999999999986</v>
      </c>
      <c r="G57" s="6" t="s">
        <v>15</v>
      </c>
    </row>
    <row r="58" spans="1:7" x14ac:dyDescent="0.45">
      <c r="A58" s="5" t="s">
        <v>112</v>
      </c>
      <c r="B58" s="9">
        <v>1</v>
      </c>
      <c r="C58" s="1">
        <f>C17</f>
        <v>4</v>
      </c>
      <c r="D58" s="4">
        <f t="shared" ref="D58:D69" si="0">D34*(C58/C34)^B58</f>
        <v>6</v>
      </c>
      <c r="E58" s="6" t="s">
        <v>13</v>
      </c>
      <c r="F58" s="4">
        <f>D58/C58</f>
        <v>1.5</v>
      </c>
      <c r="G58" s="6" t="s">
        <v>116</v>
      </c>
    </row>
    <row r="59" spans="1:7" x14ac:dyDescent="0.45">
      <c r="A59" s="5" t="s">
        <v>113</v>
      </c>
      <c r="B59" s="9">
        <v>1</v>
      </c>
      <c r="C59" s="1">
        <v>2</v>
      </c>
      <c r="D59" s="4">
        <f t="shared" si="0"/>
        <v>2.4</v>
      </c>
      <c r="E59" s="6" t="s">
        <v>13</v>
      </c>
      <c r="F59" s="4">
        <f>D59/C59</f>
        <v>1.2</v>
      </c>
      <c r="G59" s="6" t="s">
        <v>116</v>
      </c>
    </row>
    <row r="60" spans="1:7" x14ac:dyDescent="0.45">
      <c r="A60" s="5" t="s">
        <v>114</v>
      </c>
      <c r="B60" s="9">
        <v>1</v>
      </c>
      <c r="C60" s="1">
        <f>C19</f>
        <v>5</v>
      </c>
      <c r="D60" s="4">
        <f t="shared" si="0"/>
        <v>5</v>
      </c>
      <c r="E60" s="6" t="s">
        <v>13</v>
      </c>
      <c r="F60" s="4">
        <f>D60/C60</f>
        <v>1</v>
      </c>
      <c r="G60" s="6" t="s">
        <v>116</v>
      </c>
    </row>
    <row r="61" spans="1:7" x14ac:dyDescent="0.45">
      <c r="A61" s="5" t="s">
        <v>115</v>
      </c>
      <c r="B61" s="9">
        <v>1</v>
      </c>
      <c r="C61" s="1">
        <f>C20</f>
        <v>10</v>
      </c>
      <c r="D61" s="4">
        <f t="shared" si="0"/>
        <v>10</v>
      </c>
      <c r="E61" s="6" t="s">
        <v>13</v>
      </c>
      <c r="F61" s="4">
        <f>D61/C61</f>
        <v>1</v>
      </c>
      <c r="G61" s="6" t="s">
        <v>116</v>
      </c>
    </row>
    <row r="62" spans="1:7" x14ac:dyDescent="0.45">
      <c r="A62" s="5" t="s">
        <v>138</v>
      </c>
      <c r="B62" s="9">
        <v>1</v>
      </c>
      <c r="C62" s="1">
        <f>C12</f>
        <v>150</v>
      </c>
      <c r="D62" s="4">
        <f t="shared" si="0"/>
        <v>33.75</v>
      </c>
      <c r="E62" s="6" t="s">
        <v>13</v>
      </c>
      <c r="F62" s="4">
        <f>D62/MAX(0.000001,C62)</f>
        <v>0.22500000000000001</v>
      </c>
      <c r="G62" s="6" t="s">
        <v>15</v>
      </c>
    </row>
    <row r="63" spans="1:7" x14ac:dyDescent="0.45">
      <c r="A63" s="5" t="s">
        <v>139</v>
      </c>
      <c r="B63" s="9">
        <v>1</v>
      </c>
      <c r="C63" s="1">
        <f>C13</f>
        <v>300</v>
      </c>
      <c r="D63" s="4">
        <f t="shared" si="0"/>
        <v>90.914999999999992</v>
      </c>
      <c r="E63" s="6" t="s">
        <v>13</v>
      </c>
      <c r="F63" s="4">
        <f>D63/MAX(0.000001,C63)</f>
        <v>0.30304999999999999</v>
      </c>
      <c r="G63" s="6" t="s">
        <v>132</v>
      </c>
    </row>
    <row r="64" spans="1:7" x14ac:dyDescent="0.45">
      <c r="A64" s="5" t="s">
        <v>146</v>
      </c>
      <c r="B64" s="9">
        <v>1</v>
      </c>
      <c r="C64" s="1">
        <f>C21</f>
        <v>0</v>
      </c>
      <c r="D64" s="4">
        <f t="shared" si="0"/>
        <v>0</v>
      </c>
      <c r="E64" s="6" t="s">
        <v>13</v>
      </c>
      <c r="F64" s="4">
        <f>D64/MAX(0.000001,C64)</f>
        <v>0</v>
      </c>
      <c r="G64" s="6" t="s">
        <v>148</v>
      </c>
    </row>
    <row r="65" spans="1:7" x14ac:dyDescent="0.45">
      <c r="A65" s="5" t="s">
        <v>66</v>
      </c>
      <c r="B65" s="9">
        <v>1</v>
      </c>
      <c r="C65" s="1">
        <f>C11</f>
        <v>270327760</v>
      </c>
      <c r="D65" s="4">
        <f t="shared" si="0"/>
        <v>81.098327999999995</v>
      </c>
      <c r="E65" s="6" t="s">
        <v>13</v>
      </c>
      <c r="F65" s="4">
        <f>D65*1000000/C65</f>
        <v>0.3</v>
      </c>
      <c r="G65" s="6" t="s">
        <v>75</v>
      </c>
    </row>
    <row r="66" spans="1:7" x14ac:dyDescent="0.45">
      <c r="A66" s="5" t="s">
        <v>68</v>
      </c>
      <c r="B66" s="9">
        <v>1</v>
      </c>
      <c r="C66" s="1">
        <f>C11</f>
        <v>270327760</v>
      </c>
      <c r="D66" s="4">
        <f t="shared" si="0"/>
        <v>27.032776000000002</v>
      </c>
      <c r="E66" s="6" t="s">
        <v>13</v>
      </c>
      <c r="F66" s="4">
        <f>D66*1000000/C66</f>
        <v>0.10000000000000002</v>
      </c>
      <c r="G66" s="6" t="s">
        <v>75</v>
      </c>
    </row>
    <row r="67" spans="1:7" x14ac:dyDescent="0.45">
      <c r="A67" s="5" t="s">
        <v>69</v>
      </c>
      <c r="B67" s="9">
        <v>1</v>
      </c>
      <c r="C67" s="1">
        <f>C11</f>
        <v>270327760</v>
      </c>
      <c r="D67" s="4">
        <f t="shared" si="0"/>
        <v>81.098327999999995</v>
      </c>
      <c r="E67" s="6" t="s">
        <v>13</v>
      </c>
      <c r="F67" s="4">
        <f>D67*1000000/C67</f>
        <v>0.3</v>
      </c>
      <c r="G67" s="6" t="s">
        <v>75</v>
      </c>
    </row>
    <row r="68" spans="1:7" x14ac:dyDescent="0.45">
      <c r="A68" s="5" t="s">
        <v>70</v>
      </c>
      <c r="B68" s="9">
        <v>1</v>
      </c>
      <c r="C68" s="1">
        <f>C11</f>
        <v>270327760</v>
      </c>
      <c r="D68" s="4">
        <f t="shared" si="0"/>
        <v>54.065552000000004</v>
      </c>
      <c r="E68" s="6" t="s">
        <v>13</v>
      </c>
      <c r="F68" s="4">
        <f>D68*1000000/C68</f>
        <v>0.20000000000000004</v>
      </c>
      <c r="G68" s="6" t="s">
        <v>75</v>
      </c>
    </row>
    <row r="69" spans="1:7" x14ac:dyDescent="0.45">
      <c r="A69" s="5" t="s">
        <v>81</v>
      </c>
      <c r="B69" s="9">
        <v>1</v>
      </c>
      <c r="C69" s="1">
        <f>C15</f>
        <v>1000000</v>
      </c>
      <c r="D69" s="4">
        <f t="shared" si="0"/>
        <v>2</v>
      </c>
      <c r="E69" s="6" t="s">
        <v>13</v>
      </c>
      <c r="F69" s="4">
        <f>D69*1000000/C69</f>
        <v>2</v>
      </c>
      <c r="G69" s="6" t="s">
        <v>17</v>
      </c>
    </row>
    <row r="70" spans="1:7" x14ac:dyDescent="0.45">
      <c r="A70" s="71" t="s">
        <v>29</v>
      </c>
      <c r="B70" s="71"/>
      <c r="C70" s="72"/>
      <c r="D70" s="8">
        <f>SUM(D50:D69)</f>
        <v>839.49735138453752</v>
      </c>
      <c r="E70" s="7" t="s">
        <v>13</v>
      </c>
      <c r="F70" s="8">
        <f>D70*1000000/(C65/1000 + C50)</f>
        <v>1823.6948199355554</v>
      </c>
      <c r="G70" s="7" t="s">
        <v>15</v>
      </c>
    </row>
    <row r="71" spans="1:7" x14ac:dyDescent="0.45">
      <c r="A71" s="5" t="s">
        <v>24</v>
      </c>
      <c r="B71" s="1" t="s">
        <v>28</v>
      </c>
      <c r="C71" s="9">
        <v>0.1</v>
      </c>
      <c r="D71" s="4">
        <f>C71*D70</f>
        <v>83.949735138453761</v>
      </c>
      <c r="E71" s="6" t="s">
        <v>13</v>
      </c>
      <c r="F71" s="4">
        <f>D71*1000000/C50</f>
        <v>441.84071125501981</v>
      </c>
      <c r="G71" s="6" t="s">
        <v>15</v>
      </c>
    </row>
    <row r="72" spans="1:7" ht="18" x14ac:dyDescent="0.55000000000000004">
      <c r="A72" s="62" t="s">
        <v>30</v>
      </c>
      <c r="B72" s="63"/>
      <c r="C72" s="64"/>
      <c r="D72" s="12">
        <f>D70+D71</f>
        <v>923.4470865229913</v>
      </c>
      <c r="E72" s="11" t="s">
        <v>13</v>
      </c>
      <c r="F72" s="13">
        <f>D72*1000000/(C50+C65/1000)</f>
        <v>2006.0643019291108</v>
      </c>
      <c r="G72" s="10" t="s">
        <v>15</v>
      </c>
    </row>
    <row r="73" spans="1:7" x14ac:dyDescent="0.45">
      <c r="A73" s="59" t="s">
        <v>32</v>
      </c>
      <c r="B73" s="60"/>
      <c r="C73" s="60"/>
      <c r="D73" s="60"/>
      <c r="E73" s="60"/>
      <c r="F73" s="60"/>
      <c r="G73" s="61"/>
    </row>
    <row r="74" spans="1:7" x14ac:dyDescent="0.45">
      <c r="A74" s="1" t="s">
        <v>33</v>
      </c>
      <c r="B74" s="1" t="s">
        <v>28</v>
      </c>
      <c r="C74" s="9">
        <v>7.0000000000000007E-2</v>
      </c>
      <c r="D74" s="4">
        <f>D72*C74</f>
        <v>64.641296056609391</v>
      </c>
      <c r="E74" s="6" t="s">
        <v>13</v>
      </c>
      <c r="F74" s="4">
        <f>D74*1000000/$C$50</f>
        <v>340.21734766636524</v>
      </c>
      <c r="G74" s="6" t="s">
        <v>15</v>
      </c>
    </row>
    <row r="75" spans="1:7" x14ac:dyDescent="0.45">
      <c r="A75" s="1" t="s">
        <v>34</v>
      </c>
      <c r="B75" s="1" t="s">
        <v>28</v>
      </c>
      <c r="C75" s="9">
        <v>0</v>
      </c>
      <c r="D75" s="4">
        <f>D72*C75</f>
        <v>0</v>
      </c>
      <c r="E75" s="6" t="s">
        <v>13</v>
      </c>
      <c r="F75" s="4">
        <f t="shared" ref="F75:F76" si="1">D75*1000000/$C$50</f>
        <v>0</v>
      </c>
      <c r="G75" s="6" t="s">
        <v>15</v>
      </c>
    </row>
    <row r="76" spans="1:7" x14ac:dyDescent="0.45">
      <c r="A76" s="1" t="s">
        <v>35</v>
      </c>
      <c r="B76" s="1" t="s">
        <v>28</v>
      </c>
      <c r="C76" s="9">
        <v>0.14000000000000001</v>
      </c>
      <c r="D76" s="4">
        <f>D72*C76</f>
        <v>129.28259211321878</v>
      </c>
      <c r="E76" s="6" t="s">
        <v>13</v>
      </c>
      <c r="F76" s="4">
        <f t="shared" si="1"/>
        <v>680.43469533273048</v>
      </c>
      <c r="G76" s="6" t="s">
        <v>15</v>
      </c>
    </row>
    <row r="77" spans="1:7" ht="18" x14ac:dyDescent="0.55000000000000004">
      <c r="A77" s="62" t="s">
        <v>36</v>
      </c>
      <c r="B77" s="63"/>
      <c r="C77" s="64"/>
      <c r="D77" s="12">
        <f>SUM(D74:D76)</f>
        <v>193.92388816982816</v>
      </c>
      <c r="E77" s="11" t="s">
        <v>13</v>
      </c>
      <c r="F77" s="13">
        <f>D77*1000000/(C50+C65/1000)</f>
        <v>421.27350340511322</v>
      </c>
      <c r="G77" s="10" t="s">
        <v>15</v>
      </c>
    </row>
    <row r="78" spans="1:7" ht="18" x14ac:dyDescent="0.55000000000000004">
      <c r="A78" s="65" t="s">
        <v>36</v>
      </c>
      <c r="B78" s="66"/>
      <c r="C78" s="67"/>
      <c r="D78" s="16">
        <f>D72+D77</f>
        <v>1117.3709746928193</v>
      </c>
      <c r="E78" s="14" t="s">
        <v>13</v>
      </c>
      <c r="F78" s="15">
        <f>D78*1000000/($C$50+C65/1000)</f>
        <v>2427.337805334224</v>
      </c>
      <c r="G78" s="14" t="s">
        <v>15</v>
      </c>
    </row>
  </sheetData>
  <mergeCells count="16"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  <mergeCell ref="A2:C2"/>
    <mergeCell ref="A3:C3"/>
    <mergeCell ref="A24:G24"/>
    <mergeCell ref="I24:R24"/>
    <mergeCell ref="A25:C25"/>
    <mergeCell ref="D25:E25"/>
    <mergeCell ref="F25:G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topLeftCell="A50" zoomScale="130" zoomScaleNormal="130" workbookViewId="0">
      <selection activeCell="D58" sqref="D58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54" t="s">
        <v>143</v>
      </c>
      <c r="B2" s="54"/>
      <c r="C2" s="54"/>
      <c r="E2" s="29"/>
    </row>
    <row r="3" spans="1:8" ht="15.75" x14ac:dyDescent="0.5">
      <c r="A3" s="53" t="s">
        <v>12</v>
      </c>
      <c r="B3" s="53"/>
      <c r="C3" s="53"/>
      <c r="E3" s="42" t="s">
        <v>99</v>
      </c>
    </row>
    <row r="4" spans="1:8" x14ac:dyDescent="0.45">
      <c r="A4" s="5" t="s">
        <v>4</v>
      </c>
      <c r="B4" s="6" t="s">
        <v>14</v>
      </c>
      <c r="C4" s="30">
        <f>'INPUTS - SUMMARY'!C4</f>
        <v>190000</v>
      </c>
      <c r="E4" s="40" t="s">
        <v>102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507597.5</v>
      </c>
      <c r="F5" s="46" t="s">
        <v>123</v>
      </c>
      <c r="G5" s="40">
        <v>1</v>
      </c>
      <c r="H5" s="40" t="s">
        <v>125</v>
      </c>
    </row>
    <row r="6" spans="1:8" x14ac:dyDescent="0.45">
      <c r="A6" s="5" t="s">
        <v>9</v>
      </c>
      <c r="B6" s="6" t="s">
        <v>10</v>
      </c>
      <c r="C6" s="30">
        <f>'INPUTS - SUMMARY'!C6</f>
        <v>3271.3</v>
      </c>
      <c r="F6" s="46" t="s">
        <v>124</v>
      </c>
      <c r="G6" s="40">
        <v>1.75</v>
      </c>
      <c r="H6" s="40" t="s">
        <v>125</v>
      </c>
    </row>
    <row r="7" spans="1:8" x14ac:dyDescent="0.45">
      <c r="A7" s="5" t="s">
        <v>3</v>
      </c>
      <c r="B7" s="6" t="s">
        <v>8</v>
      </c>
      <c r="C7" s="30">
        <f>'INPUTS - SUMMARY'!C7</f>
        <v>200</v>
      </c>
      <c r="F7" s="46"/>
      <c r="G7" s="40"/>
      <c r="H7" s="40"/>
    </row>
    <row r="8" spans="1:8" x14ac:dyDescent="0.45">
      <c r="A8" s="5" t="s">
        <v>5</v>
      </c>
      <c r="B8" s="6" t="s">
        <v>11</v>
      </c>
      <c r="C8" s="30">
        <f>'INPUTS - SUMMARY'!C8</f>
        <v>200</v>
      </c>
    </row>
    <row r="9" spans="1:8" x14ac:dyDescent="0.45">
      <c r="A9" s="5" t="s">
        <v>128</v>
      </c>
      <c r="B9" s="6" t="s">
        <v>8</v>
      </c>
      <c r="C9" s="30">
        <f>'INPUTS - SUMMARY'!C9</f>
        <v>200000</v>
      </c>
    </row>
    <row r="10" spans="1:8" x14ac:dyDescent="0.45">
      <c r="A10" s="5" t="s">
        <v>6</v>
      </c>
      <c r="B10" s="6" t="s">
        <v>7</v>
      </c>
      <c r="C10" s="30">
        <f>'INPUTS - SUMMARY'!C10</f>
        <v>2000000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270327760</v>
      </c>
    </row>
    <row r="12" spans="1:8" x14ac:dyDescent="0.45">
      <c r="A12" s="5" t="s">
        <v>135</v>
      </c>
      <c r="B12" s="6" t="s">
        <v>131</v>
      </c>
      <c r="C12" s="30">
        <f>'INPUTS - SUMMARY'!C12</f>
        <v>150</v>
      </c>
    </row>
    <row r="13" spans="1:8" x14ac:dyDescent="0.45">
      <c r="A13" s="5" t="s">
        <v>136</v>
      </c>
      <c r="B13" s="6" t="s">
        <v>126</v>
      </c>
      <c r="C13" s="30">
        <f>'INPUTS - SUMMARY'!C13</f>
        <v>300</v>
      </c>
    </row>
    <row r="14" spans="1:8" x14ac:dyDescent="0.45">
      <c r="A14" s="5" t="s">
        <v>140</v>
      </c>
      <c r="B14" s="6" t="s">
        <v>62</v>
      </c>
      <c r="C14" s="30">
        <f>'INPUTS - SUMMARY'!C14</f>
        <v>400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1000000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213.85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4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3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5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10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54" t="s">
        <v>41</v>
      </c>
      <c r="B24" s="54"/>
      <c r="C24" s="54"/>
      <c r="D24" s="54"/>
      <c r="E24" s="54"/>
      <c r="F24" s="54"/>
      <c r="G24" s="54"/>
      <c r="I24" s="55" t="s">
        <v>56</v>
      </c>
      <c r="J24" s="55"/>
      <c r="K24" s="55"/>
      <c r="L24" s="55"/>
      <c r="M24" s="55"/>
      <c r="N24" s="55"/>
      <c r="O24" s="55"/>
      <c r="P24" s="55"/>
      <c r="Q24" s="55"/>
      <c r="R24" s="55"/>
    </row>
    <row r="25" spans="1:18" ht="18" x14ac:dyDescent="0.55000000000000004">
      <c r="A25" s="73" t="s">
        <v>45</v>
      </c>
      <c r="B25" s="73"/>
      <c r="C25" s="73"/>
      <c r="D25" s="73"/>
      <c r="E25" s="73"/>
      <c r="F25" s="73"/>
      <c r="G25" s="73"/>
      <c r="I25" s="20"/>
      <c r="J25" s="20"/>
      <c r="K25" s="20"/>
      <c r="L25" s="21"/>
      <c r="M25" s="22" t="s">
        <v>39</v>
      </c>
      <c r="N25" s="18">
        <f>D63</f>
        <v>14.395385515420955</v>
      </c>
      <c r="O25" s="21" t="s">
        <v>13</v>
      </c>
      <c r="P25" s="20"/>
      <c r="Q25" s="20"/>
      <c r="R25" s="20"/>
    </row>
    <row r="26" spans="1:18" x14ac:dyDescent="0.45">
      <c r="A26" s="56" t="s">
        <v>12</v>
      </c>
      <c r="B26" s="57"/>
      <c r="C26" s="58"/>
      <c r="D26" s="53" t="s">
        <v>0</v>
      </c>
      <c r="E26" s="53"/>
      <c r="F26" s="53" t="s">
        <v>16</v>
      </c>
      <c r="G26" s="53"/>
      <c r="L26" s="31"/>
      <c r="M26" s="32"/>
      <c r="N26" s="33"/>
      <c r="O26" s="31"/>
      <c r="P26" s="34"/>
      <c r="Q26" s="35"/>
    </row>
    <row r="27" spans="1:18" x14ac:dyDescent="0.45">
      <c r="A27" s="5" t="s">
        <v>46</v>
      </c>
      <c r="B27" s="6" t="s">
        <v>14</v>
      </c>
      <c r="C27" s="2">
        <v>110000</v>
      </c>
      <c r="D27" s="3">
        <v>196100</v>
      </c>
      <c r="E27" s="6" t="s">
        <v>44</v>
      </c>
      <c r="F27" s="4">
        <f>D27/(C27)</f>
        <v>1.7827272727272727</v>
      </c>
      <c r="G27" s="6" t="s">
        <v>15</v>
      </c>
    </row>
    <row r="28" spans="1:18" x14ac:dyDescent="0.45">
      <c r="A28" s="5" t="s">
        <v>42</v>
      </c>
      <c r="B28" s="6" t="s">
        <v>14</v>
      </c>
      <c r="C28" s="2">
        <v>110000</v>
      </c>
      <c r="D28" s="3">
        <v>1335600</v>
      </c>
      <c r="E28" s="6" t="s">
        <v>44</v>
      </c>
      <c r="F28" s="4">
        <f>D28/(C28)</f>
        <v>12.141818181818183</v>
      </c>
      <c r="G28" s="6" t="s">
        <v>15</v>
      </c>
    </row>
    <row r="29" spans="1:18" x14ac:dyDescent="0.45">
      <c r="A29" s="5" t="s">
        <v>43</v>
      </c>
      <c r="B29" s="6" t="s">
        <v>14</v>
      </c>
      <c r="C29" s="2">
        <v>110000</v>
      </c>
      <c r="D29" s="3">
        <v>286200</v>
      </c>
      <c r="E29" s="6" t="s">
        <v>44</v>
      </c>
      <c r="F29" s="4">
        <f>D29/(C29)</f>
        <v>2.601818181818182</v>
      </c>
      <c r="G29" s="6" t="s">
        <v>15</v>
      </c>
    </row>
    <row r="30" spans="1:18" x14ac:dyDescent="0.45">
      <c r="A30" s="5" t="s">
        <v>1</v>
      </c>
      <c r="B30" s="6" t="s">
        <v>7</v>
      </c>
      <c r="C30" s="2">
        <v>977628</v>
      </c>
      <c r="D30" s="3">
        <v>212000</v>
      </c>
      <c r="E30" s="6" t="s">
        <v>44</v>
      </c>
      <c r="F30" s="4">
        <f>D30/(C30)</f>
        <v>0.21685139950983401</v>
      </c>
      <c r="G30" s="6" t="s">
        <v>17</v>
      </c>
    </row>
    <row r="31" spans="1:18" x14ac:dyDescent="0.45">
      <c r="A31" s="73" t="s">
        <v>47</v>
      </c>
      <c r="B31" s="73"/>
      <c r="C31" s="73"/>
      <c r="D31" s="73"/>
      <c r="E31" s="73"/>
      <c r="F31" s="73"/>
      <c r="G31" s="73"/>
    </row>
    <row r="32" spans="1:18" x14ac:dyDescent="0.45">
      <c r="A32" s="56" t="s">
        <v>12</v>
      </c>
      <c r="B32" s="57"/>
      <c r="C32" s="58"/>
      <c r="D32" s="53" t="s">
        <v>0</v>
      </c>
      <c r="E32" s="53"/>
      <c r="F32" s="53" t="s">
        <v>16</v>
      </c>
      <c r="G32" s="53"/>
    </row>
    <row r="33" spans="1:7" x14ac:dyDescent="0.45">
      <c r="A33" s="5" t="s">
        <v>48</v>
      </c>
      <c r="B33" s="6" t="str">
        <f>B16</f>
        <v>GWh/y</v>
      </c>
      <c r="C33" s="2">
        <v>516</v>
      </c>
      <c r="D33" s="3">
        <v>227900</v>
      </c>
      <c r="E33" s="6" t="s">
        <v>44</v>
      </c>
      <c r="F33" s="4">
        <f>D33/(C33)</f>
        <v>441.66666666666669</v>
      </c>
      <c r="G33" s="6" t="s">
        <v>65</v>
      </c>
    </row>
    <row r="34" spans="1:7" x14ac:dyDescent="0.45">
      <c r="A34" s="5" t="str">
        <f>A12</f>
        <v>Battery Pack Power (Max Rated)</v>
      </c>
      <c r="B34" s="6" t="str">
        <f>B12</f>
        <v>MW</v>
      </c>
      <c r="C34" s="2">
        <f>1/1000</f>
        <v>1E-3</v>
      </c>
      <c r="D34" s="3">
        <v>6.9</v>
      </c>
      <c r="E34" s="6" t="s">
        <v>44</v>
      </c>
      <c r="F34" s="4">
        <f>D34/(C34*1000)</f>
        <v>6.9</v>
      </c>
      <c r="G34" s="6" t="s">
        <v>15</v>
      </c>
    </row>
    <row r="35" spans="1:7" x14ac:dyDescent="0.45">
      <c r="A35" s="5" t="str">
        <f>A14</f>
        <v>Battery Annual Generation (for OPEX)</v>
      </c>
      <c r="B35" s="6" t="str">
        <f>B14</f>
        <v>GWh/y</v>
      </c>
      <c r="C35" s="2">
        <f>1/1000</f>
        <v>1E-3</v>
      </c>
      <c r="D35" s="3">
        <v>2.1</v>
      </c>
      <c r="E35" s="6" t="s">
        <v>44</v>
      </c>
      <c r="F35" s="4">
        <f>D35/(C35*1000)</f>
        <v>2.1</v>
      </c>
      <c r="G35" s="6" t="s">
        <v>144</v>
      </c>
    </row>
    <row r="36" spans="1:7" x14ac:dyDescent="0.45">
      <c r="A36" s="73" t="s">
        <v>49</v>
      </c>
      <c r="B36" s="73"/>
      <c r="C36" s="73"/>
      <c r="D36" s="73"/>
      <c r="E36" s="73"/>
      <c r="F36" s="73"/>
      <c r="G36" s="73"/>
    </row>
    <row r="37" spans="1:7" x14ac:dyDescent="0.45">
      <c r="A37" s="56" t="s">
        <v>12</v>
      </c>
      <c r="B37" s="57"/>
      <c r="C37" s="58"/>
      <c r="D37" s="53" t="s">
        <v>0</v>
      </c>
      <c r="E37" s="53"/>
      <c r="F37" s="53" t="s">
        <v>16</v>
      </c>
      <c r="G37" s="53"/>
    </row>
    <row r="38" spans="1:7" x14ac:dyDescent="0.45">
      <c r="A38" s="5" t="s">
        <v>51</v>
      </c>
      <c r="B38" s="6" t="s">
        <v>14</v>
      </c>
      <c r="C38" s="2">
        <v>110000</v>
      </c>
      <c r="D38" s="3">
        <v>1431000</v>
      </c>
      <c r="E38" s="6" t="s">
        <v>44</v>
      </c>
      <c r="F38" s="4">
        <f>D38/(C38)</f>
        <v>13.00909090909091</v>
      </c>
      <c r="G38" s="6" t="s">
        <v>15</v>
      </c>
    </row>
    <row r="39" spans="1:7" x14ac:dyDescent="0.45">
      <c r="A39" s="5" t="s">
        <v>52</v>
      </c>
      <c r="B39" s="6" t="s">
        <v>14</v>
      </c>
      <c r="C39" s="2">
        <v>110000</v>
      </c>
      <c r="D39" s="3">
        <v>1025232</v>
      </c>
      <c r="E39" s="6" t="s">
        <v>44</v>
      </c>
      <c r="F39" s="4">
        <f>D39/(C39)</f>
        <v>9.3202909090909092</v>
      </c>
      <c r="G39" s="6" t="s">
        <v>15</v>
      </c>
    </row>
    <row r="40" spans="1:7" x14ac:dyDescent="0.45">
      <c r="A40" s="74" t="s">
        <v>2</v>
      </c>
      <c r="B40" s="73"/>
      <c r="C40" s="73"/>
      <c r="D40" s="73"/>
      <c r="E40" s="73"/>
      <c r="F40" s="73"/>
      <c r="G40" s="75"/>
    </row>
    <row r="41" spans="1:7" x14ac:dyDescent="0.45">
      <c r="A41" s="53" t="s">
        <v>12</v>
      </c>
      <c r="B41" s="53"/>
      <c r="C41" s="53"/>
      <c r="D41" s="53" t="s">
        <v>0</v>
      </c>
      <c r="E41" s="53"/>
      <c r="F41" s="53" t="s">
        <v>16</v>
      </c>
      <c r="G41" s="53"/>
    </row>
    <row r="42" spans="1:7" x14ac:dyDescent="0.45">
      <c r="A42" s="48" t="s">
        <v>150</v>
      </c>
      <c r="B42" s="50" t="s">
        <v>28</v>
      </c>
      <c r="C42" s="49">
        <v>1</v>
      </c>
      <c r="D42" s="49">
        <v>0</v>
      </c>
      <c r="E42" s="50" t="s">
        <v>44</v>
      </c>
      <c r="F42" s="4">
        <f>D42/(C42)</f>
        <v>0</v>
      </c>
      <c r="G42" s="50" t="s">
        <v>148</v>
      </c>
    </row>
    <row r="43" spans="1:7" x14ac:dyDescent="0.45">
      <c r="A43" s="5" t="s">
        <v>53</v>
      </c>
      <c r="B43" s="6" t="s">
        <v>14</v>
      </c>
      <c r="C43" s="2">
        <v>110000</v>
      </c>
      <c r="D43" s="3">
        <v>216240</v>
      </c>
      <c r="E43" s="6" t="s">
        <v>44</v>
      </c>
      <c r="F43" s="4">
        <f>D43/(C43)</f>
        <v>1.9658181818181819</v>
      </c>
      <c r="G43" s="6" t="s">
        <v>15</v>
      </c>
    </row>
    <row r="44" spans="1:7" x14ac:dyDescent="0.45">
      <c r="A44" s="5" t="s">
        <v>50</v>
      </c>
      <c r="B44" s="6" t="s">
        <v>14</v>
      </c>
      <c r="C44" s="2">
        <v>516</v>
      </c>
      <c r="D44" s="3">
        <v>1331360</v>
      </c>
      <c r="E44" s="6" t="s">
        <v>44</v>
      </c>
      <c r="F44" s="4">
        <f>D44/(C44)</f>
        <v>2580.1550387596899</v>
      </c>
      <c r="G44" s="6" t="s">
        <v>15</v>
      </c>
    </row>
    <row r="47" spans="1:7" x14ac:dyDescent="0.45">
      <c r="A47" s="68" t="s">
        <v>63</v>
      </c>
      <c r="B47" s="69"/>
      <c r="C47" s="69"/>
      <c r="D47" s="69"/>
      <c r="E47" s="69"/>
      <c r="F47" s="69"/>
      <c r="G47" s="70"/>
    </row>
    <row r="48" spans="1:7" x14ac:dyDescent="0.45">
      <c r="A48" s="59" t="s">
        <v>64</v>
      </c>
      <c r="B48" s="60"/>
      <c r="C48" s="60"/>
      <c r="D48" s="60"/>
      <c r="E48" s="60"/>
      <c r="F48" s="60"/>
      <c r="G48" s="61"/>
    </row>
    <row r="49" spans="1:7" x14ac:dyDescent="0.45">
      <c r="A49" s="5" t="s">
        <v>54</v>
      </c>
      <c r="B49" s="5" t="s">
        <v>25</v>
      </c>
      <c r="C49" s="5" t="s">
        <v>27</v>
      </c>
      <c r="D49" s="56" t="s">
        <v>26</v>
      </c>
      <c r="E49" s="58"/>
      <c r="F49" s="56" t="s">
        <v>31</v>
      </c>
      <c r="G49" s="58"/>
    </row>
    <row r="50" spans="1:7" x14ac:dyDescent="0.45">
      <c r="A50" s="5" t="s">
        <v>84</v>
      </c>
      <c r="B50" s="9">
        <v>1</v>
      </c>
      <c r="C50" s="1">
        <f>C4</f>
        <v>190000</v>
      </c>
      <c r="D50" s="4">
        <f>D27*(C50/C27)^B50</f>
        <v>338718.18181818182</v>
      </c>
      <c r="E50" s="6" t="s">
        <v>44</v>
      </c>
      <c r="F50" s="4">
        <f t="shared" ref="F50:F58" si="0">D50/C50</f>
        <v>1.7827272727272727</v>
      </c>
      <c r="G50" s="6" t="s">
        <v>15</v>
      </c>
    </row>
    <row r="51" spans="1:7" x14ac:dyDescent="0.45">
      <c r="A51" s="5" t="s">
        <v>85</v>
      </c>
      <c r="B51" s="9">
        <v>0.7</v>
      </c>
      <c r="C51" s="1">
        <f>C4</f>
        <v>190000</v>
      </c>
      <c r="D51" s="4">
        <f>D28*(C51/C28)^B51</f>
        <v>1958073.7777269871</v>
      </c>
      <c r="E51" s="6" t="s">
        <v>44</v>
      </c>
      <c r="F51" s="4">
        <f t="shared" si="0"/>
        <v>10.305651461720984</v>
      </c>
      <c r="G51" s="6" t="s">
        <v>15</v>
      </c>
    </row>
    <row r="52" spans="1:7" x14ac:dyDescent="0.45">
      <c r="A52" s="5" t="s">
        <v>86</v>
      </c>
      <c r="B52" s="9">
        <v>0.7</v>
      </c>
      <c r="C52" s="1">
        <f>C4</f>
        <v>190000</v>
      </c>
      <c r="D52" s="4">
        <f>D29*(C52/C29)^B52</f>
        <v>419587.23808435444</v>
      </c>
      <c r="E52" s="6" t="s">
        <v>44</v>
      </c>
      <c r="F52" s="4">
        <f t="shared" si="0"/>
        <v>2.208353884654497</v>
      </c>
      <c r="G52" s="6" t="s">
        <v>15</v>
      </c>
    </row>
    <row r="53" spans="1:7" x14ac:dyDescent="0.45">
      <c r="A53" s="5" t="s">
        <v>87</v>
      </c>
      <c r="B53" s="9">
        <v>1</v>
      </c>
      <c r="C53" s="1">
        <f>C5</f>
        <v>507597.5</v>
      </c>
      <c r="D53" s="4">
        <f>D30*(C53/C30)^B53</f>
        <v>110073.22826269297</v>
      </c>
      <c r="E53" s="6" t="s">
        <v>44</v>
      </c>
      <c r="F53" s="4">
        <f t="shared" si="0"/>
        <v>0.21685139950983401</v>
      </c>
      <c r="G53" s="6" t="s">
        <v>17</v>
      </c>
    </row>
    <row r="54" spans="1:7" x14ac:dyDescent="0.45">
      <c r="A54" s="5" t="s">
        <v>88</v>
      </c>
      <c r="B54" s="9">
        <v>0.7</v>
      </c>
      <c r="C54" s="1">
        <f>C16</f>
        <v>213.85</v>
      </c>
      <c r="D54" s="4">
        <f>D33*(C54/C33)^B54</f>
        <v>123017.24941492839</v>
      </c>
      <c r="E54" s="6" t="s">
        <v>44</v>
      </c>
      <c r="F54" s="4">
        <f>D54/C54</f>
        <v>575.25017262066115</v>
      </c>
      <c r="G54" s="6" t="s">
        <v>65</v>
      </c>
    </row>
    <row r="55" spans="1:7" x14ac:dyDescent="0.45">
      <c r="A55" s="5" t="s">
        <v>97</v>
      </c>
      <c r="B55" s="9">
        <v>1</v>
      </c>
      <c r="C55" s="1">
        <f>C4</f>
        <v>190000</v>
      </c>
      <c r="D55" s="4">
        <f>D38*(C55/C38)^B55</f>
        <v>2471727.2727272729</v>
      </c>
      <c r="E55" s="6" t="s">
        <v>44</v>
      </c>
      <c r="F55" s="4">
        <f t="shared" si="0"/>
        <v>13.00909090909091</v>
      </c>
      <c r="G55" s="6" t="s">
        <v>15</v>
      </c>
    </row>
    <row r="56" spans="1:7" x14ac:dyDescent="0.45">
      <c r="A56" s="5" t="s">
        <v>98</v>
      </c>
      <c r="B56" s="9">
        <v>1</v>
      </c>
      <c r="C56" s="1">
        <f>C4</f>
        <v>190000</v>
      </c>
      <c r="D56" s="4">
        <f>D39*(C56/C39)^B56</f>
        <v>1770855.2727272727</v>
      </c>
      <c r="E56" s="6" t="s">
        <v>44</v>
      </c>
      <c r="F56" s="4">
        <f t="shared" si="0"/>
        <v>9.3202909090909092</v>
      </c>
      <c r="G56" s="6" t="s">
        <v>15</v>
      </c>
    </row>
    <row r="57" spans="1:7" x14ac:dyDescent="0.45">
      <c r="A57" s="5" t="s">
        <v>89</v>
      </c>
      <c r="B57" s="9">
        <v>0.7</v>
      </c>
      <c r="C57" s="1">
        <f>C4</f>
        <v>190000</v>
      </c>
      <c r="D57" s="4">
        <f>D43*(C57/C43)^B57</f>
        <v>317021.46877484553</v>
      </c>
      <c r="E57" s="6" t="s">
        <v>44</v>
      </c>
      <c r="F57" s="4">
        <f t="shared" si="0"/>
        <v>1.6685340461833975</v>
      </c>
      <c r="G57" s="6" t="s">
        <v>15</v>
      </c>
    </row>
    <row r="58" spans="1:7" x14ac:dyDescent="0.45">
      <c r="A58" s="5" t="s">
        <v>90</v>
      </c>
      <c r="B58" s="9">
        <v>0.7</v>
      </c>
      <c r="C58" s="1">
        <f>C16</f>
        <v>213.85</v>
      </c>
      <c r="D58" s="4">
        <f>D44*(C58/C44)^B58</f>
        <v>718649.60588441882</v>
      </c>
      <c r="E58" s="6" t="s">
        <v>44</v>
      </c>
      <c r="F58" s="4">
        <f t="shared" si="0"/>
        <v>3360.5312409839553</v>
      </c>
      <c r="G58" s="6" t="s">
        <v>65</v>
      </c>
    </row>
    <row r="59" spans="1:7" x14ac:dyDescent="0.45">
      <c r="A59" s="5" t="s">
        <v>141</v>
      </c>
      <c r="B59" s="9">
        <v>1</v>
      </c>
      <c r="C59" s="1">
        <f>C12</f>
        <v>150</v>
      </c>
      <c r="D59" s="4">
        <f>D34*(C59/C34)^B59</f>
        <v>1035000</v>
      </c>
      <c r="E59" s="6" t="s">
        <v>44</v>
      </c>
      <c r="F59" s="4">
        <f>D59/(C59*1000)</f>
        <v>6.9</v>
      </c>
      <c r="G59" s="6" t="s">
        <v>15</v>
      </c>
    </row>
    <row r="60" spans="1:7" x14ac:dyDescent="0.45">
      <c r="A60" s="5" t="s">
        <v>142</v>
      </c>
      <c r="B60" s="9">
        <v>1</v>
      </c>
      <c r="C60" s="1">
        <f>C14</f>
        <v>400</v>
      </c>
      <c r="D60" s="4">
        <f>D35*(C60/C35)^B60</f>
        <v>840000</v>
      </c>
      <c r="E60" s="6" t="s">
        <v>44</v>
      </c>
      <c r="F60" s="4">
        <f>D60/(C60*1000)</f>
        <v>2.1</v>
      </c>
      <c r="G60" s="6" t="s">
        <v>144</v>
      </c>
    </row>
    <row r="61" spans="1:7" x14ac:dyDescent="0.45">
      <c r="A61" s="5" t="s">
        <v>151</v>
      </c>
      <c r="B61" s="9">
        <v>1</v>
      </c>
      <c r="C61" s="1">
        <f>C21</f>
        <v>0</v>
      </c>
      <c r="D61" s="4">
        <f>D42*(C61/C42)^B61</f>
        <v>0</v>
      </c>
      <c r="E61" s="6" t="s">
        <v>44</v>
      </c>
      <c r="F61" s="4">
        <f>D61/MAX(0.000001,C61)</f>
        <v>0</v>
      </c>
      <c r="G61" s="6" t="s">
        <v>148</v>
      </c>
    </row>
    <row r="62" spans="1:7" x14ac:dyDescent="0.45">
      <c r="A62" s="5" t="s">
        <v>83</v>
      </c>
      <c r="B62" s="47">
        <f>G6/100</f>
        <v>1.7500000000000002E-2</v>
      </c>
      <c r="C62" s="1">
        <f>C11</f>
        <v>270327760</v>
      </c>
      <c r="D62" s="4">
        <f>SUM(CAPEX!D65:D69)*1000000*B62</f>
        <v>4292662.22</v>
      </c>
      <c r="E62" s="6" t="s">
        <v>44</v>
      </c>
      <c r="F62" s="4">
        <f>D62/(C62/1000)</f>
        <v>15.87947245965416</v>
      </c>
      <c r="G62" s="6" t="s">
        <v>15</v>
      </c>
    </row>
    <row r="63" spans="1:7" ht="18" x14ac:dyDescent="0.55000000000000004">
      <c r="A63" s="65" t="s">
        <v>55</v>
      </c>
      <c r="B63" s="66"/>
      <c r="C63" s="67"/>
      <c r="D63" s="16">
        <f>SUM(D50:D62)/1000000</f>
        <v>14.395385515420955</v>
      </c>
      <c r="E63" s="14" t="s">
        <v>13</v>
      </c>
      <c r="F63" s="15">
        <f>D63*1000000/($C$50+C62/1000)</f>
        <v>31.27203433358213</v>
      </c>
      <c r="G63" s="14" t="s">
        <v>15</v>
      </c>
    </row>
  </sheetData>
  <mergeCells count="25"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I24:R24"/>
    <mergeCell ref="A25:G25"/>
    <mergeCell ref="A26:C26"/>
    <mergeCell ref="D26:E26"/>
    <mergeCell ref="F26:G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 Pratama</cp:lastModifiedBy>
  <dcterms:created xsi:type="dcterms:W3CDTF">2017-03-15T14:10:39Z</dcterms:created>
  <dcterms:modified xsi:type="dcterms:W3CDTF">2025-10-19T08:31:42Z</dcterms:modified>
</cp:coreProperties>
</file>