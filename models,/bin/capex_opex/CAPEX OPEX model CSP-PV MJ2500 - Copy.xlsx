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th-my.sharepoint.com/personal/acpra_ug_kth_se/Documents/1. Large Scale Solar/Project/Hybrid_backup/capex_opex/"/>
    </mc:Choice>
  </mc:AlternateContent>
  <xr:revisionPtr revIDLastSave="51" documentId="13_ncr:1_{E89EEC9B-68A6-4DA1-9938-1315E9173B47}" xr6:coauthVersionLast="47" xr6:coauthVersionMax="47" xr10:uidLastSave="{5A5E3CE3-CB5B-4D8C-AB57-7863DACFCF40}"/>
  <bookViews>
    <workbookView xWindow="-98" yWindow="-98" windowWidth="21795" windowHeight="13875" xr2:uid="{00000000-000D-0000-FFFF-FFFF00000000}"/>
  </bookViews>
  <sheets>
    <sheet name="INPUTS - SUMMARY" sheetId="10" r:id="rId1"/>
    <sheet name="CAPEX" sheetId="19" r:id="rId2"/>
    <sheet name="OPEX" sheetId="2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10" l="1"/>
  <c r="J12" i="10"/>
  <c r="J4" i="10"/>
  <c r="J5" i="10"/>
  <c r="J6" i="10"/>
  <c r="J3" i="10"/>
  <c r="B62" i="20"/>
  <c r="D23" i="19"/>
  <c r="B5" i="19"/>
  <c r="A5" i="19"/>
  <c r="B5" i="20"/>
  <c r="A5" i="20"/>
  <c r="F42" i="20"/>
  <c r="F40" i="19"/>
  <c r="A20" i="20"/>
  <c r="B20" i="20"/>
  <c r="C20" i="20"/>
  <c r="A20" i="19"/>
  <c r="B20" i="19"/>
  <c r="C20" i="19"/>
  <c r="C61" i="19" s="1"/>
  <c r="D61" i="19" s="1"/>
  <c r="D39" i="19"/>
  <c r="F39" i="19" s="1"/>
  <c r="C35" i="20"/>
  <c r="F35" i="20" s="1"/>
  <c r="C34" i="20"/>
  <c r="F34" i="20" s="1"/>
  <c r="C12" i="20"/>
  <c r="C59" i="20" s="1"/>
  <c r="B35" i="20"/>
  <c r="A35" i="20"/>
  <c r="B34" i="20"/>
  <c r="A34" i="20"/>
  <c r="C14" i="20"/>
  <c r="C60" i="20" s="1"/>
  <c r="D60" i="20" s="1"/>
  <c r="F60" i="20" s="1"/>
  <c r="C13" i="20"/>
  <c r="C14" i="19"/>
  <c r="C12" i="19"/>
  <c r="C62" i="19" s="1"/>
  <c r="D62" i="19" s="1"/>
  <c r="F62" i="19" s="1"/>
  <c r="C13" i="19"/>
  <c r="C63" i="19" s="1"/>
  <c r="F38" i="19"/>
  <c r="C9" i="19"/>
  <c r="C57" i="19" s="1"/>
  <c r="F33" i="19"/>
  <c r="F26" i="19"/>
  <c r="C9" i="20"/>
  <c r="D59" i="20" l="1"/>
  <c r="F59" i="20" s="1"/>
  <c r="D63" i="19"/>
  <c r="F63" i="19" s="1"/>
  <c r="D57" i="19"/>
  <c r="F57" i="19" s="1"/>
  <c r="C17" i="19" l="1"/>
  <c r="C58" i="19" s="1"/>
  <c r="D58" i="19" s="1"/>
  <c r="F58" i="19" s="1"/>
  <c r="F37" i="19"/>
  <c r="F36" i="19"/>
  <c r="F35" i="19"/>
  <c r="F34" i="19"/>
  <c r="C21" i="20"/>
  <c r="C61" i="20" s="1"/>
  <c r="D61" i="20" s="1"/>
  <c r="F61" i="20" s="1"/>
  <c r="B21" i="20"/>
  <c r="A21" i="20"/>
  <c r="C19" i="20"/>
  <c r="B19" i="20"/>
  <c r="A19" i="20"/>
  <c r="C18" i="20"/>
  <c r="B18" i="20"/>
  <c r="A18" i="20"/>
  <c r="C17" i="20"/>
  <c r="B17" i="20"/>
  <c r="A17" i="20"/>
  <c r="C21" i="19"/>
  <c r="B21" i="19"/>
  <c r="A21" i="19"/>
  <c r="C19" i="19"/>
  <c r="C60" i="19" s="1"/>
  <c r="D60" i="19" s="1"/>
  <c r="F60" i="19" s="1"/>
  <c r="B19" i="19"/>
  <c r="A19" i="19"/>
  <c r="C18" i="19"/>
  <c r="D59" i="19" s="1"/>
  <c r="F59" i="19" s="1"/>
  <c r="B18" i="19"/>
  <c r="A18" i="19"/>
  <c r="B17" i="19"/>
  <c r="A17" i="19"/>
  <c r="F61" i="19" l="1"/>
  <c r="C64" i="19"/>
  <c r="D64" i="19" s="1"/>
  <c r="F64" i="19" s="1"/>
  <c r="C10" i="20"/>
  <c r="C8" i="20"/>
  <c r="C7" i="20"/>
  <c r="C6" i="20"/>
  <c r="C5" i="20"/>
  <c r="C53" i="20" s="1"/>
  <c r="C4" i="20"/>
  <c r="C50" i="20" l="1"/>
  <c r="C56" i="20"/>
  <c r="F44" i="20"/>
  <c r="F43" i="20"/>
  <c r="F39" i="20"/>
  <c r="F38" i="20"/>
  <c r="F33" i="20"/>
  <c r="F30" i="20"/>
  <c r="F29" i="20"/>
  <c r="F28" i="20"/>
  <c r="F27" i="20"/>
  <c r="C16" i="20"/>
  <c r="B16" i="20"/>
  <c r="B33" i="20" s="1"/>
  <c r="A16" i="20"/>
  <c r="C15" i="20"/>
  <c r="B15" i="20"/>
  <c r="A15" i="20"/>
  <c r="C11" i="20"/>
  <c r="C62" i="20" s="1"/>
  <c r="B11" i="20"/>
  <c r="A11" i="20"/>
  <c r="D46" i="19"/>
  <c r="F45" i="19"/>
  <c r="F44" i="19"/>
  <c r="F43" i="19"/>
  <c r="F42" i="19"/>
  <c r="F41" i="19"/>
  <c r="F32" i="19"/>
  <c r="F31" i="19"/>
  <c r="F30" i="19"/>
  <c r="F29" i="19"/>
  <c r="F28" i="19"/>
  <c r="F27" i="19"/>
  <c r="C16" i="19"/>
  <c r="B16" i="19"/>
  <c r="A16" i="19"/>
  <c r="C15" i="19"/>
  <c r="C69" i="19" s="1"/>
  <c r="D69" i="19" s="1"/>
  <c r="F69" i="19" s="1"/>
  <c r="B15" i="19"/>
  <c r="A15" i="19"/>
  <c r="C11" i="19"/>
  <c r="C67" i="19" s="1"/>
  <c r="D67" i="19" s="1"/>
  <c r="F67" i="19" s="1"/>
  <c r="B11" i="19"/>
  <c r="A11" i="19"/>
  <c r="C10" i="19"/>
  <c r="C56" i="19" s="1"/>
  <c r="D56" i="19" s="1"/>
  <c r="C8" i="19"/>
  <c r="C55" i="19" s="1"/>
  <c r="D55" i="19" s="1"/>
  <c r="F55" i="19" s="1"/>
  <c r="C7" i="19"/>
  <c r="C54" i="19" s="1"/>
  <c r="D54" i="19" s="1"/>
  <c r="F54" i="19" s="1"/>
  <c r="C6" i="19"/>
  <c r="C52" i="19" s="1"/>
  <c r="D52" i="19" s="1"/>
  <c r="F52" i="19" s="1"/>
  <c r="C5" i="19"/>
  <c r="C53" i="19" s="1"/>
  <c r="C4" i="19"/>
  <c r="C51" i="19" s="1"/>
  <c r="D51" i="19" s="1"/>
  <c r="C58" i="20" l="1"/>
  <c r="D58" i="20" s="1"/>
  <c r="F58" i="20" s="1"/>
  <c r="C54" i="20"/>
  <c r="D54" i="20" s="1"/>
  <c r="F54" i="20" s="1"/>
  <c r="D53" i="19"/>
  <c r="F53" i="19" s="1"/>
  <c r="C50" i="19"/>
  <c r="D50" i="19" s="1"/>
  <c r="F56" i="19"/>
  <c r="C66" i="19"/>
  <c r="D66" i="19" s="1"/>
  <c r="F66" i="19" s="1"/>
  <c r="C65" i="19"/>
  <c r="D65" i="19" s="1"/>
  <c r="C68" i="19"/>
  <c r="D68" i="19" s="1"/>
  <c r="F68" i="19" s="1"/>
  <c r="D62" i="20" l="1"/>
  <c r="F50" i="19"/>
  <c r="F51" i="19"/>
  <c r="F65" i="19"/>
  <c r="D70" i="19" l="1"/>
  <c r="F70" i="19" s="1"/>
  <c r="D71" i="19" l="1"/>
  <c r="D72" i="19" s="1"/>
  <c r="D74" i="19" s="1"/>
  <c r="F74" i="19" s="1"/>
  <c r="D76" i="19" l="1"/>
  <c r="F76" i="19" s="1"/>
  <c r="D75" i="19"/>
  <c r="F75" i="19" s="1"/>
  <c r="N25" i="19"/>
  <c r="B24" i="10" s="1"/>
  <c r="F72" i="19"/>
  <c r="F71" i="19"/>
  <c r="D77" i="19" l="1"/>
  <c r="N26" i="19" s="1"/>
  <c r="B25" i="10" s="1"/>
  <c r="F77" i="19" l="1"/>
  <c r="D78" i="19"/>
  <c r="F78" i="19" s="1"/>
  <c r="N27" i="19" l="1"/>
  <c r="P25" i="19" s="1"/>
  <c r="B26" i="10" l="1"/>
  <c r="P26" i="19"/>
  <c r="D53" i="20"/>
  <c r="F53" i="20" s="1"/>
  <c r="D50" i="20"/>
  <c r="D56" i="20"/>
  <c r="F56" i="20" s="1"/>
  <c r="K3" i="10" l="1"/>
  <c r="L3" i="10"/>
  <c r="C57" i="20"/>
  <c r="D57" i="20" s="1"/>
  <c r="F57" i="20" s="1"/>
  <c r="C55" i="20"/>
  <c r="D55" i="20" s="1"/>
  <c r="F55" i="20" s="1"/>
  <c r="C51" i="20"/>
  <c r="D51" i="20" s="1"/>
  <c r="C52" i="20"/>
  <c r="F62" i="20"/>
  <c r="F50" i="20"/>
  <c r="D52" i="20" l="1"/>
  <c r="F52" i="20" s="1"/>
  <c r="F51" i="20"/>
  <c r="D63" i="20" l="1"/>
  <c r="F63" i="20" s="1"/>
  <c r="D25" i="10"/>
  <c r="D24" i="10"/>
  <c r="N25" i="20" l="1"/>
  <c r="K24" i="10" s="1"/>
</calcChain>
</file>

<file path=xl/sharedStrings.xml><?xml version="1.0" encoding="utf-8"?>
<sst xmlns="http://schemas.openxmlformats.org/spreadsheetml/2006/main" count="437" uniqueCount="170">
  <si>
    <t>Reference Cost</t>
  </si>
  <si>
    <t>Solar Field Maintenance Labor</t>
  </si>
  <si>
    <t>Miscellaneous</t>
  </si>
  <si>
    <t>Receiver Power (Max Rated)</t>
  </si>
  <si>
    <t>Installed Capacity (Gross)</t>
  </si>
  <si>
    <t>Tower Height (w/o Receiver)</t>
  </si>
  <si>
    <t xml:space="preserve">Land Area </t>
  </si>
  <si>
    <t>m2</t>
  </si>
  <si>
    <t>MW-th</t>
  </si>
  <si>
    <t xml:space="preserve">Thermal Energy Storage Capacity </t>
  </si>
  <si>
    <t>MWh-th</t>
  </si>
  <si>
    <t>m</t>
  </si>
  <si>
    <t>Reference Parameters</t>
  </si>
  <si>
    <t>MUSD</t>
  </si>
  <si>
    <t>kW</t>
  </si>
  <si>
    <t>USD/kW</t>
  </si>
  <si>
    <t>Specfic Costs (REF)</t>
  </si>
  <si>
    <t>USD/m2</t>
  </si>
  <si>
    <t>USD/kwh-th</t>
  </si>
  <si>
    <t>USD/MW-th</t>
  </si>
  <si>
    <t>USD/m</t>
  </si>
  <si>
    <t>CAPEX Cost Model</t>
  </si>
  <si>
    <t>Sub-Block (Breakdown)</t>
  </si>
  <si>
    <t>Direct CAPEX</t>
  </si>
  <si>
    <t>Contingencies</t>
  </si>
  <si>
    <t>COEFF</t>
  </si>
  <si>
    <t>Cost</t>
  </si>
  <si>
    <t>Scaling Param</t>
  </si>
  <si>
    <t>-</t>
  </si>
  <si>
    <t>DIRECT CAPEX Sub-Total</t>
  </si>
  <si>
    <t>DIRECT CAPEX Total</t>
  </si>
  <si>
    <t>Specific Costs</t>
  </si>
  <si>
    <t>Indirect CAPEX</t>
  </si>
  <si>
    <t>Developer Costs</t>
  </si>
  <si>
    <t>Financial Costs</t>
  </si>
  <si>
    <t>Engineering Costs</t>
  </si>
  <si>
    <t>INDIRECT CAPEX Total</t>
  </si>
  <si>
    <t>DIRECT CAPEX:</t>
  </si>
  <si>
    <t xml:space="preserve">INDIRECT CAPEX: </t>
  </si>
  <si>
    <t xml:space="preserve">TOTAL CAPEX: </t>
  </si>
  <si>
    <t>%</t>
  </si>
  <si>
    <t xml:space="preserve">Cost Model Reference Inputs </t>
  </si>
  <si>
    <t>Plant Operations Labor</t>
  </si>
  <si>
    <t>Plant Maintenance Labor</t>
  </si>
  <si>
    <t>USD</t>
  </si>
  <si>
    <t>Labor Costs</t>
  </si>
  <si>
    <t xml:space="preserve">Admin/Finance &amp; Management </t>
  </si>
  <si>
    <t>Service Costs</t>
  </si>
  <si>
    <t>Subcontracted Services</t>
  </si>
  <si>
    <t>Utilitiy Costs</t>
  </si>
  <si>
    <t>Spare Parts</t>
  </si>
  <si>
    <t>Electricity</t>
  </si>
  <si>
    <t>Water</t>
  </si>
  <si>
    <t>Machinery</t>
  </si>
  <si>
    <t>Sub-Part (Breakdown)</t>
  </si>
  <si>
    <t xml:space="preserve"> OPEX Total</t>
  </si>
  <si>
    <t>SUMMARY OF OPEX RESULTS</t>
  </si>
  <si>
    <t>SUMMARY OF CAPEX RESULTS</t>
  </si>
  <si>
    <t>Power Plant Key Cost Scaling Variables</t>
  </si>
  <si>
    <t>Power Plant Configuration (INPUTS)</t>
  </si>
  <si>
    <t xml:space="preserve">TOTAL OPEX: </t>
  </si>
  <si>
    <t>ST Installed Capacity (Gross)</t>
  </si>
  <si>
    <t>GWh/y</t>
  </si>
  <si>
    <t>OPEX Cost Model</t>
  </si>
  <si>
    <t>Direct OPEX</t>
  </si>
  <si>
    <t>USD/GWh/y</t>
  </si>
  <si>
    <t>PV Modules</t>
  </si>
  <si>
    <t>PV BOS</t>
  </si>
  <si>
    <t>PV Inverters</t>
  </si>
  <si>
    <t>PV BOS (except Inverters)</t>
  </si>
  <si>
    <t>PV additional rack (SA tracking)</t>
  </si>
  <si>
    <t>CSP Site Preparations / Civil works</t>
  </si>
  <si>
    <t>PV SA Tracking</t>
  </si>
  <si>
    <t>Wdc</t>
  </si>
  <si>
    <t>Wdc-peak</t>
  </si>
  <si>
    <t>USD/Wdc-p</t>
  </si>
  <si>
    <t>Land Area (for CSP Site Preparation)</t>
  </si>
  <si>
    <t>Land Area (for PV Site Preparation)</t>
  </si>
  <si>
    <t>Land Area CSP</t>
  </si>
  <si>
    <t>PV Installed Capacity</t>
  </si>
  <si>
    <t>Land Area PV</t>
  </si>
  <si>
    <t>PV Site Preperations / Civil works</t>
  </si>
  <si>
    <t>CSP Annual Generation (for OPEX)</t>
  </si>
  <si>
    <t>Fixed PV OPEX</t>
  </si>
  <si>
    <t xml:space="preserve">CSP Admin/Finance &amp; Management </t>
  </si>
  <si>
    <t>CSP Plant Operations Labor</t>
  </si>
  <si>
    <t>CSP Plant Maintenance Labor</t>
  </si>
  <si>
    <t>CSP Solar Field Maintenance Labor</t>
  </si>
  <si>
    <t>CSP Subcontracted Services</t>
  </si>
  <si>
    <t>CSP Machinery</t>
  </si>
  <si>
    <t>CSP Spare Parts</t>
  </si>
  <si>
    <t>CSP Power Block</t>
  </si>
  <si>
    <t>CSP BOP</t>
  </si>
  <si>
    <t>CSP TES</t>
  </si>
  <si>
    <t>CSP SF</t>
  </si>
  <si>
    <t>CSP Receiver</t>
  </si>
  <si>
    <t>CSP Tower</t>
  </si>
  <si>
    <t>CSP Electricity Use</t>
  </si>
  <si>
    <t>CSP Water Use</t>
  </si>
  <si>
    <t xml:space="preserve">* Light blue fields are reference values. These are site and tech dependent. </t>
  </si>
  <si>
    <t>* If tower technology: SET BOP Reference to 74.8 MUSD</t>
  </si>
  <si>
    <t>* If PT technology: SET BOP Reference Cost to 90.2 MUSD</t>
  </si>
  <si>
    <t>* Depending on PV tracking, set right OPEX</t>
  </si>
  <si>
    <t>* Set right PV module and tracking costs depending on technology used</t>
  </si>
  <si>
    <t xml:space="preserve">Distance to Grid </t>
  </si>
  <si>
    <t>Distance to Road</t>
  </si>
  <si>
    <t>Distance to Gas</t>
  </si>
  <si>
    <t>Distance to Water</t>
  </si>
  <si>
    <t>** Set to 0 if the CSP plant is a Parabolic Trough (PT) Technology</t>
  </si>
  <si>
    <t>** Set to 0 if there is no need for Gas line</t>
  </si>
  <si>
    <t>** Set to 0 if there is no need for water line</t>
  </si>
  <si>
    <t>km</t>
  </si>
  <si>
    <t>Grid Connection Costs</t>
  </si>
  <si>
    <t>Road Costs</t>
  </si>
  <si>
    <t>Gas Pipeline Costs</t>
  </si>
  <si>
    <t>Water Pipeline Costs</t>
  </si>
  <si>
    <t>USD/km</t>
  </si>
  <si>
    <t>PB Installed Capacity (Gross)</t>
  </si>
  <si>
    <t>Thin Film = 0.3 $/Wdc</t>
  </si>
  <si>
    <t>* If tower technology: SET Solar Field Reference Cost to 125 MUSD</t>
  </si>
  <si>
    <t>* If PT technology: SET Solar Field Reference Cost to 115 MUSD</t>
  </si>
  <si>
    <t>P-Si = 0.28 $/Wdc</t>
  </si>
  <si>
    <t>Mono-Si = 0.33 $/Wdc</t>
  </si>
  <si>
    <t>Fixed Trackers</t>
  </si>
  <si>
    <t>Single Axis Tracking</t>
  </si>
  <si>
    <t>% of CAPEX</t>
  </si>
  <si>
    <t>MWh-e</t>
  </si>
  <si>
    <t>** Set to 0 if there is no battery pack</t>
  </si>
  <si>
    <t>Electric Heater Thermal Power (Max Rated)</t>
  </si>
  <si>
    <t>** Set to 0 if there is no electric heater installed for hybridization</t>
  </si>
  <si>
    <t>Electric Heater</t>
  </si>
  <si>
    <t>MW</t>
  </si>
  <si>
    <t>USD/kWh-e</t>
  </si>
  <si>
    <t>USD/kW-t</t>
  </si>
  <si>
    <t>kW-th</t>
  </si>
  <si>
    <t>Battery Pack Power (Max Rated)</t>
  </si>
  <si>
    <t>Battery Pack Capacity</t>
  </si>
  <si>
    <t>USD/kW-e</t>
  </si>
  <si>
    <t>Battery Pack - Power</t>
  </si>
  <si>
    <t>Battery Pack - Capacity</t>
  </si>
  <si>
    <t>Battery Annual Generation (for OPEX)</t>
  </si>
  <si>
    <t>Battery Pack - Fixed OPEX</t>
  </si>
  <si>
    <t>Battery Pack - Variable OPEX</t>
  </si>
  <si>
    <t xml:space="preserve"> Power Plant Inputs (Auto-Update from INPUTS-SUMMARY)</t>
  </si>
  <si>
    <t>USD/MWh/y</t>
  </si>
  <si>
    <t>Battery Pack Capacity (replacement included)</t>
  </si>
  <si>
    <t>Other Component</t>
  </si>
  <si>
    <t>TBD</t>
  </si>
  <si>
    <t>USD/-</t>
  </si>
  <si>
    <t>** Set to 0 if ther is no other component to be included, otherwise set also a reference cost in CAPEX and OPEX</t>
  </si>
  <si>
    <t>Other Costs</t>
  </si>
  <si>
    <t>Other OPEX</t>
  </si>
  <si>
    <t>Balance of Plant (BOP)</t>
  </si>
  <si>
    <t>Solar Field Aperture Area</t>
  </si>
  <si>
    <t>Solar Field Aperture Area (Mirror Area)</t>
  </si>
  <si>
    <t>Other Component Size</t>
  </si>
  <si>
    <t>Financial Model Assumptions</t>
  </si>
  <si>
    <t>Share of Equity</t>
  </si>
  <si>
    <t>Share of Debt</t>
  </si>
  <si>
    <t>Equity IRR</t>
  </si>
  <si>
    <t>Debt Interest Rate</t>
  </si>
  <si>
    <t>Depreciation</t>
  </si>
  <si>
    <t>Taxes</t>
  </si>
  <si>
    <t>years</t>
  </si>
  <si>
    <t>Construction period</t>
  </si>
  <si>
    <t>Decommissioning costs</t>
  </si>
  <si>
    <t>Decommissioning period</t>
  </si>
  <si>
    <t>Lifetime of the plant (Operating period)</t>
  </si>
  <si>
    <t>capex</t>
  </si>
  <si>
    <t>Decom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</si>
</sst>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i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u/>
      <sz val="12"/>
      <color rgb="FFFF0000"/>
      <name val="Calibri"/>
      <family val="2"/>
      <scheme val="minor"/>
    </font>
    <font>
      <i/>
      <sz val="11"/>
      <color theme="0" tint="-0.1499984740745262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1" xfId="0" applyBorder="1"/>
    <xf numFmtId="0" fontId="2" fillId="4" borderId="1" xfId="0" applyFont="1" applyFill="1" applyBorder="1"/>
    <xf numFmtId="164" fontId="2" fillId="4" borderId="1" xfId="0" applyNumberFormat="1" applyFont="1" applyFill="1" applyBorder="1"/>
    <xf numFmtId="2" fontId="0" fillId="0" borderId="1" xfId="0" applyNumberFormat="1" applyBorder="1"/>
    <xf numFmtId="0" fontId="1" fillId="0" borderId="1" xfId="0" applyFont="1" applyBorder="1"/>
    <xf numFmtId="0" fontId="6" fillId="0" borderId="1" xfId="0" applyFont="1" applyBorder="1"/>
    <xf numFmtId="0" fontId="6" fillId="7" borderId="1" xfId="0" applyFont="1" applyFill="1" applyBorder="1"/>
    <xf numFmtId="2" fontId="0" fillId="7" borderId="1" xfId="0" applyNumberFormat="1" applyFill="1" applyBorder="1"/>
    <xf numFmtId="0" fontId="0" fillId="4" borderId="1" xfId="0" applyFill="1" applyBorder="1"/>
    <xf numFmtId="0" fontId="7" fillId="2" borderId="1" xfId="0" applyFont="1" applyFill="1" applyBorder="1"/>
    <xf numFmtId="0" fontId="9" fillId="2" borderId="1" xfId="0" applyFont="1" applyFill="1" applyBorder="1"/>
    <xf numFmtId="2" fontId="8" fillId="2" borderId="1" xfId="0" applyNumberFormat="1" applyFont="1" applyFill="1" applyBorder="1"/>
    <xf numFmtId="2" fontId="7" fillId="2" borderId="1" xfId="0" applyNumberFormat="1" applyFont="1" applyFill="1" applyBorder="1"/>
    <xf numFmtId="0" fontId="11" fillId="8" borderId="1" xfId="0" applyFont="1" applyFill="1" applyBorder="1"/>
    <xf numFmtId="2" fontId="11" fillId="8" borderId="1" xfId="0" applyNumberFormat="1" applyFont="1" applyFill="1" applyBorder="1"/>
    <xf numFmtId="2" fontId="10" fillId="8" borderId="1" xfId="0" applyNumberFormat="1" applyFont="1" applyFill="1" applyBorder="1"/>
    <xf numFmtId="0" fontId="0" fillId="9" borderId="0" xfId="0" applyFill="1"/>
    <xf numFmtId="2" fontId="15" fillId="9" borderId="0" xfId="0" applyNumberFormat="1" applyFont="1" applyFill="1"/>
    <xf numFmtId="0" fontId="13" fillId="6" borderId="0" xfId="0" applyFont="1" applyFill="1"/>
    <xf numFmtId="0" fontId="13" fillId="9" borderId="0" xfId="0" applyFont="1" applyFill="1"/>
    <xf numFmtId="0" fontId="8" fillId="9" borderId="0" xfId="0" applyFont="1" applyFill="1"/>
    <xf numFmtId="0" fontId="8" fillId="9" borderId="0" xfId="0" applyFont="1" applyFill="1" applyAlignment="1">
      <alignment horizontal="right"/>
    </xf>
    <xf numFmtId="0" fontId="10" fillId="6" borderId="0" xfId="0" applyFont="1" applyFill="1"/>
    <xf numFmtId="0" fontId="10" fillId="6" borderId="0" xfId="0" applyFont="1" applyFill="1" applyAlignment="1">
      <alignment horizontal="right"/>
    </xf>
    <xf numFmtId="2" fontId="10" fillId="6" borderId="0" xfId="0" applyNumberFormat="1" applyFont="1" applyFill="1"/>
    <xf numFmtId="0" fontId="14" fillId="6" borderId="0" xfId="0" applyFont="1" applyFill="1"/>
    <xf numFmtId="165" fontId="16" fillId="6" borderId="0" xfId="0" applyNumberFormat="1" applyFont="1" applyFill="1" applyAlignment="1">
      <alignment horizontal="right"/>
    </xf>
    <xf numFmtId="0" fontId="3" fillId="3" borderId="1" xfId="0" applyFont="1" applyFill="1" applyBorder="1"/>
    <xf numFmtId="0" fontId="17" fillId="0" borderId="0" xfId="0" applyFont="1"/>
    <xf numFmtId="0" fontId="3" fillId="0" borderId="1" xfId="0" applyFont="1" applyBorder="1"/>
    <xf numFmtId="0" fontId="4" fillId="0" borderId="0" xfId="0" applyFont="1"/>
    <xf numFmtId="0" fontId="4" fillId="0" borderId="0" xfId="0" applyFont="1" applyAlignment="1">
      <alignment horizontal="right"/>
    </xf>
    <xf numFmtId="2" fontId="4" fillId="0" borderId="0" xfId="0" applyNumberFormat="1" applyFont="1"/>
    <xf numFmtId="165" fontId="18" fillId="0" borderId="0" xfId="0" applyNumberFormat="1" applyFont="1" applyAlignment="1">
      <alignment horizontal="right"/>
    </xf>
    <xf numFmtId="0" fontId="5" fillId="0" borderId="0" xfId="0" applyFont="1"/>
    <xf numFmtId="0" fontId="3" fillId="0" borderId="0" xfId="0" applyFont="1"/>
    <xf numFmtId="0" fontId="1" fillId="0" borderId="0" xfId="0" applyFont="1"/>
    <xf numFmtId="0" fontId="6" fillId="0" borderId="0" xfId="0" applyFont="1"/>
    <xf numFmtId="2" fontId="0" fillId="0" borderId="0" xfId="0" applyNumberForma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164" fontId="22" fillId="0" borderId="0" xfId="0" applyNumberFormat="1" applyFont="1"/>
    <xf numFmtId="164" fontId="2" fillId="3" borderId="1" xfId="0" applyNumberFormat="1" applyFont="1" applyFill="1" applyBorder="1"/>
    <xf numFmtId="0" fontId="19" fillId="0" borderId="0" xfId="0" applyFont="1" applyAlignment="1">
      <alignment horizontal="right"/>
    </xf>
    <xf numFmtId="0" fontId="0" fillId="3" borderId="1" xfId="0" applyFill="1" applyBorder="1"/>
    <xf numFmtId="0" fontId="1" fillId="0" borderId="1" xfId="0" applyFont="1" applyBorder="1" applyAlignment="1">
      <alignment horizontal="left"/>
    </xf>
    <xf numFmtId="0" fontId="0" fillId="4" borderId="1" xfId="0" applyFill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3" fillId="4" borderId="1" xfId="0" applyFont="1" applyFill="1" applyBorder="1" applyAlignment="1">
      <alignment horizontal="right"/>
    </xf>
    <xf numFmtId="164" fontId="15" fillId="9" borderId="0" xfId="0" applyNumberFormat="1" applyFont="1" applyFill="1"/>
    <xf numFmtId="3" fontId="3" fillId="3" borderId="1" xfId="0" applyNumberFormat="1" applyFont="1" applyFill="1" applyBorder="1"/>
    <xf numFmtId="4" fontId="3" fillId="3" borderId="1" xfId="0" applyNumberFormat="1" applyFont="1" applyFill="1" applyBorder="1"/>
    <xf numFmtId="0" fontId="4" fillId="5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5" borderId="2" xfId="0" applyFont="1" applyFill="1" applyBorder="1" applyAlignment="1">
      <alignment horizontal="left"/>
    </xf>
    <xf numFmtId="0" fontId="12" fillId="5" borderId="0" xfId="0" applyFont="1" applyFill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right"/>
    </xf>
    <xf numFmtId="0" fontId="8" fillId="2" borderId="4" xfId="0" applyFont="1" applyFill="1" applyBorder="1" applyAlignment="1">
      <alignment horizontal="right"/>
    </xf>
    <xf numFmtId="0" fontId="8" fillId="2" borderId="5" xfId="0" applyFont="1" applyFill="1" applyBorder="1" applyAlignment="1">
      <alignment horizontal="right"/>
    </xf>
    <xf numFmtId="0" fontId="10" fillId="8" borderId="3" xfId="0" applyFont="1" applyFill="1" applyBorder="1" applyAlignment="1">
      <alignment horizontal="right"/>
    </xf>
    <xf numFmtId="0" fontId="10" fillId="8" borderId="4" xfId="0" applyFont="1" applyFill="1" applyBorder="1" applyAlignment="1">
      <alignment horizontal="right"/>
    </xf>
    <xf numFmtId="0" fontId="10" fillId="8" borderId="5" xfId="0" applyFont="1" applyFill="1" applyBorder="1" applyAlignment="1">
      <alignment horizontal="right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right"/>
    </xf>
    <xf numFmtId="0" fontId="1" fillId="7" borderId="5" xfId="0" applyFont="1" applyFill="1" applyBorder="1" applyAlignment="1">
      <alignment horizontal="right"/>
    </xf>
    <xf numFmtId="0" fontId="4" fillId="6" borderId="4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/>
    </xf>
    <xf numFmtId="0" fontId="4" fillId="6" borderId="5" xfId="0" applyFont="1" applyFill="1" applyBorder="1" applyAlignment="1">
      <alignment horizontal="left"/>
    </xf>
    <xf numFmtId="0" fontId="1" fillId="2" borderId="1" xfId="0" applyFont="1" applyFill="1" applyBorder="1"/>
    <xf numFmtId="0" fontId="23" fillId="0" borderId="1" xfId="0" applyFont="1" applyFill="1" applyBorder="1"/>
    <xf numFmtId="0" fontId="6" fillId="2" borderId="1" xfId="0" applyFont="1" applyFill="1" applyBorder="1"/>
    <xf numFmtId="4" fontId="3" fillId="2" borderId="1" xfId="0" applyNumberFormat="1" applyFont="1" applyFill="1" applyBorder="1"/>
    <xf numFmtId="3" fontId="3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CAPEX Breakdown</a:t>
            </a:r>
          </a:p>
        </c:rich>
      </c:tx>
      <c:layout>
        <c:manualLayout>
          <c:xMode val="edge"/>
          <c:yMode val="edge"/>
          <c:x val="0.13090863642044745"/>
          <c:y val="5.7838660578386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>
        <c:manualLayout>
          <c:layoutTarget val="inner"/>
          <c:xMode val="edge"/>
          <c:yMode val="edge"/>
          <c:x val="6.6885543900651989E-2"/>
          <c:y val="0.16018029335377457"/>
          <c:w val="0.5313449256342957"/>
          <c:h val="0.8282870370370369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64-436C-B6D5-EE975E3F91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64-436C-B6D5-EE975E3F91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64-436C-B6D5-EE975E3F913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D64-436C-B6D5-EE975E3F913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D64-436C-B6D5-EE975E3F913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D64-436C-B6D5-EE975E3F913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D64-436C-B6D5-EE975E3F913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D64-436C-B6D5-EE975E3F913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D64-436C-B6D5-EE975E3F913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D64-436C-B6D5-EE975E3F913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D64-436C-B6D5-EE975E3F913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D64-436C-B6D5-EE975E3F913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D64-436C-B6D5-EE975E3F913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D64-436C-B6D5-EE975E3F913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D64-436C-B6D5-EE975E3F913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D64-436C-B6D5-EE975E3F913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D64-436C-B6D5-EE975E3F913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D64-436C-B6D5-EE975E3F913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2D64-436C-B6D5-EE975E3F913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2D64-436C-B6D5-EE975E3F913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42B0-4E2A-8B57-0443DBC85A4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42B0-4E2A-8B57-0443DBC85A4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42B0-4E2A-8B57-0443DBC85A4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C396-4A22-941F-AC5AC041395F}"/>
              </c:ext>
            </c:extLst>
          </c:dPt>
          <c:dLbls>
            <c:dLbl>
              <c:idx val="1"/>
              <c:layout>
                <c:manualLayout>
                  <c:x val="-5.5247921596007395E-2"/>
                  <c:y val="6.928942101415405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64-436C-B6D5-EE975E3F9137}"/>
                </c:ext>
              </c:extLst>
            </c:dLbl>
            <c:dLbl>
              <c:idx val="6"/>
              <c:layout>
                <c:manualLayout>
                  <c:x val="6.6482023633233175E-2"/>
                  <c:y val="-5.264087548319869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D64-436C-B6D5-EE975E3F91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S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(CAPEX!$A$50:$A$69,CAPEX!$A$71,CAPEX!$A$74:$A$76)</c:f>
              <c:strCache>
                <c:ptCount val="24"/>
                <c:pt idx="0">
                  <c:v>CSP Power Block</c:v>
                </c:pt>
                <c:pt idx="1">
                  <c:v>CSP BOP</c:v>
                </c:pt>
                <c:pt idx="2">
                  <c:v>CSP TES</c:v>
                </c:pt>
                <c:pt idx="3">
                  <c:v>CSP SF</c:v>
                </c:pt>
                <c:pt idx="4">
                  <c:v>CSP Receiver</c:v>
                </c:pt>
                <c:pt idx="5">
                  <c:v>CSP Tower</c:v>
                </c:pt>
                <c:pt idx="6">
                  <c:v>CSP Site Preparations / Civil works</c:v>
                </c:pt>
                <c:pt idx="7">
                  <c:v>Electric Heater</c:v>
                </c:pt>
                <c:pt idx="8">
                  <c:v>Grid Connection Costs</c:v>
                </c:pt>
                <c:pt idx="9">
                  <c:v>Road Costs</c:v>
                </c:pt>
                <c:pt idx="10">
                  <c:v>Gas Pipeline Costs</c:v>
                </c:pt>
                <c:pt idx="11">
                  <c:v>Water Pipeline Costs</c:v>
                </c:pt>
                <c:pt idx="12">
                  <c:v>Battery Pack - Power</c:v>
                </c:pt>
                <c:pt idx="13">
                  <c:v>Battery Pack - Capacity</c:v>
                </c:pt>
                <c:pt idx="14">
                  <c:v>Other Component</c:v>
                </c:pt>
                <c:pt idx="15">
                  <c:v>PV Modules</c:v>
                </c:pt>
                <c:pt idx="16">
                  <c:v>PV Inverters</c:v>
                </c:pt>
                <c:pt idx="17">
                  <c:v>PV BOS (except Inverters)</c:v>
                </c:pt>
                <c:pt idx="18">
                  <c:v>PV additional rack (SA tracking)</c:v>
                </c:pt>
                <c:pt idx="19">
                  <c:v>PV Site Preperations / Civil works</c:v>
                </c:pt>
                <c:pt idx="20">
                  <c:v>Contingencies</c:v>
                </c:pt>
                <c:pt idx="21">
                  <c:v>Developer Costs</c:v>
                </c:pt>
                <c:pt idx="22">
                  <c:v>Financial Costs</c:v>
                </c:pt>
                <c:pt idx="23">
                  <c:v>Engineering Costs</c:v>
                </c:pt>
              </c:strCache>
            </c:strRef>
          </c:cat>
          <c:val>
            <c:numRef>
              <c:f>(CAPEX!$D$50:$D$69,CAPEX!$D$71,CAPEX!$D$74:$D$76)</c:f>
              <c:numCache>
                <c:formatCode>0.00</c:formatCode>
                <c:ptCount val="24"/>
                <c:pt idx="0">
                  <c:v>52.360667247835302</c:v>
                </c:pt>
                <c:pt idx="1">
                  <c:v>69.308651601419044</c:v>
                </c:pt>
                <c:pt idx="2">
                  <c:v>134.9806421297381</c:v>
                </c:pt>
                <c:pt idx="3">
                  <c:v>188.49501696000002</c:v>
                </c:pt>
                <c:pt idx="4">
                  <c:v>66.466655441331696</c:v>
                </c:pt>
                <c:pt idx="5">
                  <c:v>29.305216886830916</c:v>
                </c:pt>
                <c:pt idx="6">
                  <c:v>19.557450726975485</c:v>
                </c:pt>
                <c:pt idx="7">
                  <c:v>35</c:v>
                </c:pt>
                <c:pt idx="8">
                  <c:v>0</c:v>
                </c:pt>
                <c:pt idx="9">
                  <c:v>2.4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30.601331560799998</c:v>
                </c:pt>
                <c:pt idx="16">
                  <c:v>10.200443853599999</c:v>
                </c:pt>
                <c:pt idx="17">
                  <c:v>30.601331560799998</c:v>
                </c:pt>
                <c:pt idx="18">
                  <c:v>20.400887707199999</c:v>
                </c:pt>
                <c:pt idx="19">
                  <c:v>78.557330000000007</c:v>
                </c:pt>
                <c:pt idx="20">
                  <c:v>76.823562567653042</c:v>
                </c:pt>
                <c:pt idx="21">
                  <c:v>59.154143177092848</c:v>
                </c:pt>
                <c:pt idx="22">
                  <c:v>0</c:v>
                </c:pt>
                <c:pt idx="23">
                  <c:v>118.3082863541857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2D64-436C-B6D5-EE975E3F9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6489646074399611"/>
          <c:y val="4.4779448631448462E-2"/>
          <c:w val="0.33510353925600372"/>
          <c:h val="0.942526164936813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OPEX Breakdown</a:t>
            </a:r>
          </a:p>
        </c:rich>
      </c:tx>
      <c:layout>
        <c:manualLayout>
          <c:xMode val="edge"/>
          <c:yMode val="edge"/>
          <c:x val="0.16310658030436506"/>
          <c:y val="3.6571424183406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>
        <c:manualLayout>
          <c:layoutTarget val="inner"/>
          <c:xMode val="edge"/>
          <c:yMode val="edge"/>
          <c:x val="7.1634534720199733E-2"/>
          <c:y val="0.18008378791645591"/>
          <c:w val="0.50645747219202397"/>
          <c:h val="0.7402960941526995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F0-4D0A-BD38-18F804447D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F0-4D0A-BD38-18F804447D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F0-4D0A-BD38-18F804447D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F0-4D0A-BD38-18F804447DE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0F0-4D0A-BD38-18F804447DE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0F0-4D0A-BD38-18F804447DE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0F0-4D0A-BD38-18F804447DE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0F0-4D0A-BD38-18F804447DE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0F0-4D0A-BD38-18F804447DE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0F0-4D0A-BD38-18F804447DE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0F0-4D0A-BD38-18F804447DE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EB7-4555-A584-D10247E21CB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BA1-429F-8296-C141FF8263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S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OPEX!$A$50:$A$62</c:f>
              <c:strCache>
                <c:ptCount val="13"/>
                <c:pt idx="0">
                  <c:v>CSP Admin/Finance &amp; Management </c:v>
                </c:pt>
                <c:pt idx="1">
                  <c:v>CSP Plant Operations Labor</c:v>
                </c:pt>
                <c:pt idx="2">
                  <c:v>CSP Plant Maintenance Labor</c:v>
                </c:pt>
                <c:pt idx="3">
                  <c:v>CSP Solar Field Maintenance Labor</c:v>
                </c:pt>
                <c:pt idx="4">
                  <c:v>CSP Subcontracted Services</c:v>
                </c:pt>
                <c:pt idx="5">
                  <c:v>CSP Electricity Use</c:v>
                </c:pt>
                <c:pt idx="6">
                  <c:v>CSP Water Use</c:v>
                </c:pt>
                <c:pt idx="7">
                  <c:v>CSP Machinery</c:v>
                </c:pt>
                <c:pt idx="8">
                  <c:v>CSP Spare Parts</c:v>
                </c:pt>
                <c:pt idx="9">
                  <c:v>Battery Pack - Fixed OPEX</c:v>
                </c:pt>
                <c:pt idx="10">
                  <c:v>Battery Pack - Variable OPEX</c:v>
                </c:pt>
                <c:pt idx="11">
                  <c:v>Other OPEX</c:v>
                </c:pt>
                <c:pt idx="12">
                  <c:v>Fixed PV OPEX</c:v>
                </c:pt>
              </c:strCache>
            </c:strRef>
          </c:cat>
          <c:val>
            <c:numRef>
              <c:f>OPEX!$D$50:$D$62</c:f>
              <c:numCache>
                <c:formatCode>0.00</c:formatCode>
                <c:ptCount val="13"/>
                <c:pt idx="0">
                  <c:v>178272.72727272726</c:v>
                </c:pt>
                <c:pt idx="1">
                  <c:v>1249400.0838934677</c:v>
                </c:pt>
                <c:pt idx="2">
                  <c:v>267728.58940574306</c:v>
                </c:pt>
                <c:pt idx="3">
                  <c:v>355438.33242092084</c:v>
                </c:pt>
                <c:pt idx="4">
                  <c:v>156825.75905416059</c:v>
                </c:pt>
                <c:pt idx="5">
                  <c:v>1300909.0909090908</c:v>
                </c:pt>
                <c:pt idx="6">
                  <c:v>932029.09090909082</c:v>
                </c:pt>
                <c:pt idx="7">
                  <c:v>202283.82310656144</c:v>
                </c:pt>
                <c:pt idx="8">
                  <c:v>916154.20173035213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1703613.246824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0F0-4D0A-BD38-18F804447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2417410056871858"/>
          <c:y val="5.7903795077159946E-2"/>
          <c:w val="0.36046055005567013"/>
          <c:h val="0.859810500510176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CAPEX Breakdown</a:t>
            </a:r>
          </a:p>
        </c:rich>
      </c:tx>
      <c:layout>
        <c:manualLayout>
          <c:xMode val="edge"/>
          <c:yMode val="edge"/>
          <c:x val="0.13090863642044745"/>
          <c:y val="5.7838660578386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>
        <c:manualLayout>
          <c:layoutTarget val="inner"/>
          <c:xMode val="edge"/>
          <c:yMode val="edge"/>
          <c:x val="6.6885543900651989E-2"/>
          <c:y val="0.16018029335377457"/>
          <c:w val="0.5313449256342957"/>
          <c:h val="0.8282870370370369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11-4023-95EE-B89AFD30C7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11-4023-95EE-B89AFD30C7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11-4023-95EE-B89AFD30C7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F11-4023-95EE-B89AFD30C72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F11-4023-95EE-B89AFD30C72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F11-4023-95EE-B89AFD30C72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F11-4023-95EE-B89AFD30C72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F11-4023-95EE-B89AFD30C72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F11-4023-95EE-B89AFD30C72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F11-4023-95EE-B89AFD30C72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F11-4023-95EE-B89AFD30C72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F11-4023-95EE-B89AFD30C72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F11-4023-95EE-B89AFD30C72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F11-4023-95EE-B89AFD30C72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F11-4023-95EE-B89AFD30C72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F11-4023-95EE-B89AFD30C72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F11-4023-95EE-B89AFD30C72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F11-4023-95EE-B89AFD30C72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F11-4023-95EE-B89AFD30C72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6F11-4023-95EE-B89AFD30C72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71DC-45F3-B6A2-D46EE6F630A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71DC-45F3-B6A2-D46EE6F630A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71DC-45F3-B6A2-D46EE6F630A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F50C-4C88-958A-E91E9CF5F34F}"/>
              </c:ext>
            </c:extLst>
          </c:dPt>
          <c:dLbls>
            <c:dLbl>
              <c:idx val="1"/>
              <c:layout>
                <c:manualLayout>
                  <c:x val="-5.5247921596007395E-2"/>
                  <c:y val="6.928942101415405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11-4023-95EE-B89AFD30C72E}"/>
                </c:ext>
              </c:extLst>
            </c:dLbl>
            <c:dLbl>
              <c:idx val="6"/>
              <c:layout>
                <c:manualLayout>
                  <c:x val="6.6482023633233175E-2"/>
                  <c:y val="-5.264087548319869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F11-4023-95EE-B89AFD30C7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S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(CAPEX!$A$50:$A$69,CAPEX!$A$71,CAPEX!$A$74:$A$76)</c:f>
              <c:strCache>
                <c:ptCount val="24"/>
                <c:pt idx="0">
                  <c:v>CSP Power Block</c:v>
                </c:pt>
                <c:pt idx="1">
                  <c:v>CSP BOP</c:v>
                </c:pt>
                <c:pt idx="2">
                  <c:v>CSP TES</c:v>
                </c:pt>
                <c:pt idx="3">
                  <c:v>CSP SF</c:v>
                </c:pt>
                <c:pt idx="4">
                  <c:v>CSP Receiver</c:v>
                </c:pt>
                <c:pt idx="5">
                  <c:v>CSP Tower</c:v>
                </c:pt>
                <c:pt idx="6">
                  <c:v>CSP Site Preparations / Civil works</c:v>
                </c:pt>
                <c:pt idx="7">
                  <c:v>Electric Heater</c:v>
                </c:pt>
                <c:pt idx="8">
                  <c:v>Grid Connection Costs</c:v>
                </c:pt>
                <c:pt idx="9">
                  <c:v>Road Costs</c:v>
                </c:pt>
                <c:pt idx="10">
                  <c:v>Gas Pipeline Costs</c:v>
                </c:pt>
                <c:pt idx="11">
                  <c:v>Water Pipeline Costs</c:v>
                </c:pt>
                <c:pt idx="12">
                  <c:v>Battery Pack - Power</c:v>
                </c:pt>
                <c:pt idx="13">
                  <c:v>Battery Pack - Capacity</c:v>
                </c:pt>
                <c:pt idx="14">
                  <c:v>Other Component</c:v>
                </c:pt>
                <c:pt idx="15">
                  <c:v>PV Modules</c:v>
                </c:pt>
                <c:pt idx="16">
                  <c:v>PV Inverters</c:v>
                </c:pt>
                <c:pt idx="17">
                  <c:v>PV BOS (except Inverters)</c:v>
                </c:pt>
                <c:pt idx="18">
                  <c:v>PV additional rack (SA tracking)</c:v>
                </c:pt>
                <c:pt idx="19">
                  <c:v>PV Site Preperations / Civil works</c:v>
                </c:pt>
                <c:pt idx="20">
                  <c:v>Contingencies</c:v>
                </c:pt>
                <c:pt idx="21">
                  <c:v>Developer Costs</c:v>
                </c:pt>
                <c:pt idx="22">
                  <c:v>Financial Costs</c:v>
                </c:pt>
                <c:pt idx="23">
                  <c:v>Engineering Costs</c:v>
                </c:pt>
              </c:strCache>
            </c:strRef>
          </c:cat>
          <c:val>
            <c:numRef>
              <c:f>(CAPEX!$D$50:$D$69,CAPEX!$D$71,CAPEX!$D$74:$D$76)</c:f>
              <c:numCache>
                <c:formatCode>0.00</c:formatCode>
                <c:ptCount val="24"/>
                <c:pt idx="0">
                  <c:v>52.360667247835302</c:v>
                </c:pt>
                <c:pt idx="1">
                  <c:v>69.308651601419044</c:v>
                </c:pt>
                <c:pt idx="2">
                  <c:v>134.9806421297381</c:v>
                </c:pt>
                <c:pt idx="3">
                  <c:v>188.49501696000002</c:v>
                </c:pt>
                <c:pt idx="4">
                  <c:v>66.466655441331696</c:v>
                </c:pt>
                <c:pt idx="5">
                  <c:v>29.305216886830916</c:v>
                </c:pt>
                <c:pt idx="6">
                  <c:v>19.557450726975485</c:v>
                </c:pt>
                <c:pt idx="7">
                  <c:v>35</c:v>
                </c:pt>
                <c:pt idx="8">
                  <c:v>0</c:v>
                </c:pt>
                <c:pt idx="9">
                  <c:v>2.4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30.601331560799998</c:v>
                </c:pt>
                <c:pt idx="16">
                  <c:v>10.200443853599999</c:v>
                </c:pt>
                <c:pt idx="17">
                  <c:v>30.601331560799998</c:v>
                </c:pt>
                <c:pt idx="18">
                  <c:v>20.400887707199999</c:v>
                </c:pt>
                <c:pt idx="19">
                  <c:v>78.557330000000007</c:v>
                </c:pt>
                <c:pt idx="20">
                  <c:v>76.823562567653042</c:v>
                </c:pt>
                <c:pt idx="21">
                  <c:v>59.154143177092848</c:v>
                </c:pt>
                <c:pt idx="22">
                  <c:v>0</c:v>
                </c:pt>
                <c:pt idx="23">
                  <c:v>118.3082863541857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6F11-4023-95EE-B89AFD30C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4822981984588803"/>
          <c:y val="0.14004307321173648"/>
          <c:w val="0.45177018015411202"/>
          <c:h val="0.799630679866284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OPEX Breakdown</a:t>
            </a:r>
          </a:p>
        </c:rich>
      </c:tx>
      <c:layout>
        <c:manualLayout>
          <c:xMode val="edge"/>
          <c:yMode val="edge"/>
          <c:x val="0.16310658030436506"/>
          <c:y val="3.6571424183406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>
        <c:manualLayout>
          <c:layoutTarget val="inner"/>
          <c:xMode val="edge"/>
          <c:yMode val="edge"/>
          <c:x val="7.1634534720199733E-2"/>
          <c:y val="0.18008378791645591"/>
          <c:w val="0.50645747219202397"/>
          <c:h val="0.7402960941526995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68-4403-B7E0-4F314B2B77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68-4403-B7E0-4F314B2B77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668-4403-B7E0-4F314B2B77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668-4403-B7E0-4F314B2B77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668-4403-B7E0-4F314B2B772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668-4403-B7E0-4F314B2B772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668-4403-B7E0-4F314B2B772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668-4403-B7E0-4F314B2B772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668-4403-B7E0-4F314B2B772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668-4403-B7E0-4F314B2B772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668-4403-B7E0-4F314B2B772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0BC-4EF2-9639-79D4E706CF5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695-4C9C-9DA2-DC0D7F8F59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S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OPEX!$A$50:$A$62</c:f>
              <c:strCache>
                <c:ptCount val="13"/>
                <c:pt idx="0">
                  <c:v>CSP Admin/Finance &amp; Management </c:v>
                </c:pt>
                <c:pt idx="1">
                  <c:v>CSP Plant Operations Labor</c:v>
                </c:pt>
                <c:pt idx="2">
                  <c:v>CSP Plant Maintenance Labor</c:v>
                </c:pt>
                <c:pt idx="3">
                  <c:v>CSP Solar Field Maintenance Labor</c:v>
                </c:pt>
                <c:pt idx="4">
                  <c:v>CSP Subcontracted Services</c:v>
                </c:pt>
                <c:pt idx="5">
                  <c:v>CSP Electricity Use</c:v>
                </c:pt>
                <c:pt idx="6">
                  <c:v>CSP Water Use</c:v>
                </c:pt>
                <c:pt idx="7">
                  <c:v>CSP Machinery</c:v>
                </c:pt>
                <c:pt idx="8">
                  <c:v>CSP Spare Parts</c:v>
                </c:pt>
                <c:pt idx="9">
                  <c:v>Battery Pack - Fixed OPEX</c:v>
                </c:pt>
                <c:pt idx="10">
                  <c:v>Battery Pack - Variable OPEX</c:v>
                </c:pt>
                <c:pt idx="11">
                  <c:v>Other OPEX</c:v>
                </c:pt>
                <c:pt idx="12">
                  <c:v>Fixed PV OPEX</c:v>
                </c:pt>
              </c:strCache>
            </c:strRef>
          </c:cat>
          <c:val>
            <c:numRef>
              <c:f>OPEX!$D$50:$D$62</c:f>
              <c:numCache>
                <c:formatCode>0.00</c:formatCode>
                <c:ptCount val="13"/>
                <c:pt idx="0">
                  <c:v>178272.72727272726</c:v>
                </c:pt>
                <c:pt idx="1">
                  <c:v>1249400.0838934677</c:v>
                </c:pt>
                <c:pt idx="2">
                  <c:v>267728.58940574306</c:v>
                </c:pt>
                <c:pt idx="3">
                  <c:v>355438.33242092084</c:v>
                </c:pt>
                <c:pt idx="4">
                  <c:v>156825.75905416059</c:v>
                </c:pt>
                <c:pt idx="5">
                  <c:v>1300909.0909090908</c:v>
                </c:pt>
                <c:pt idx="6">
                  <c:v>932029.09090909082</c:v>
                </c:pt>
                <c:pt idx="7">
                  <c:v>202283.82310656144</c:v>
                </c:pt>
                <c:pt idx="8">
                  <c:v>916154.20173035213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1703613.246824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668-4403-B7E0-4F314B2B7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2417410056871858"/>
          <c:y val="5.7903795077159946E-2"/>
          <c:w val="0.36046055005567013"/>
          <c:h val="0.859810500510176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26</xdr:row>
      <xdr:rowOff>9525</xdr:rowOff>
    </xdr:from>
    <xdr:to>
      <xdr:col>5</xdr:col>
      <xdr:colOff>13607</xdr:colOff>
      <xdr:row>52</xdr:row>
      <xdr:rowOff>122465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</xdr:colOff>
      <xdr:row>24</xdr:row>
      <xdr:rowOff>0</xdr:rowOff>
    </xdr:from>
    <xdr:to>
      <xdr:col>15</xdr:col>
      <xdr:colOff>588893</xdr:colOff>
      <xdr:row>45</xdr:row>
      <xdr:rowOff>166688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2413962</xdr:colOff>
      <xdr:row>30</xdr:row>
      <xdr:rowOff>173690</xdr:rowOff>
    </xdr:from>
    <xdr:to>
      <xdr:col>21</xdr:col>
      <xdr:colOff>155845</xdr:colOff>
      <xdr:row>56</xdr:row>
      <xdr:rowOff>38700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7C1EF7-3019-EB3E-AD37-007F4D891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81595" y="5703794"/>
          <a:ext cx="9894662" cy="4526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9524</xdr:colOff>
      <xdr:row>27</xdr:row>
      <xdr:rowOff>9524</xdr:rowOff>
    </xdr:from>
    <xdr:to>
      <xdr:col>20</xdr:col>
      <xdr:colOff>466725</xdr:colOff>
      <xdr:row>65</xdr:row>
      <xdr:rowOff>141514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604837</xdr:colOff>
      <xdr:row>25</xdr:row>
      <xdr:rowOff>4762</xdr:rowOff>
    </xdr:from>
    <xdr:to>
      <xdr:col>17</xdr:col>
      <xdr:colOff>600075</xdr:colOff>
      <xdr:row>47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6"/>
  <sheetViews>
    <sheetView tabSelected="1" zoomScale="85" zoomScaleNormal="85" workbookViewId="0">
      <selection activeCell="A10" sqref="A10:C10"/>
    </sheetView>
  </sheetViews>
  <sheetFormatPr defaultRowHeight="14.25" x14ac:dyDescent="0.45"/>
  <cols>
    <col min="1" max="1" width="51.1328125" bestFit="1" customWidth="1"/>
    <col min="2" max="2" width="10.86328125" customWidth="1"/>
    <col min="3" max="3" width="17.59765625" customWidth="1"/>
    <col min="4" max="4" width="14.1328125" customWidth="1"/>
    <col min="5" max="5" width="22" customWidth="1"/>
    <col min="6" max="6" width="23.73046875" customWidth="1"/>
    <col min="7" max="7" width="42.73046875" customWidth="1"/>
    <col min="9" max="9" width="9.1328125" customWidth="1"/>
  </cols>
  <sheetData>
    <row r="1" spans="1:15" x14ac:dyDescent="0.45">
      <c r="K1" t="s">
        <v>168</v>
      </c>
    </row>
    <row r="2" spans="1:15" x14ac:dyDescent="0.45">
      <c r="A2" s="55" t="s">
        <v>59</v>
      </c>
      <c r="B2" s="55"/>
      <c r="C2" s="55"/>
      <c r="E2" s="29"/>
      <c r="G2" s="55" t="s">
        <v>156</v>
      </c>
      <c r="H2" s="55"/>
      <c r="I2" s="55"/>
      <c r="K2">
        <v>1</v>
      </c>
      <c r="L2">
        <v>2</v>
      </c>
      <c r="M2">
        <v>3</v>
      </c>
      <c r="N2">
        <v>4</v>
      </c>
      <c r="O2">
        <v>5</v>
      </c>
    </row>
    <row r="3" spans="1:15" x14ac:dyDescent="0.45">
      <c r="A3" s="56" t="s">
        <v>58</v>
      </c>
      <c r="B3" s="56"/>
      <c r="C3" s="56"/>
      <c r="E3" s="29"/>
      <c r="G3" s="5" t="s">
        <v>158</v>
      </c>
      <c r="H3" s="6" t="s">
        <v>40</v>
      </c>
      <c r="I3" s="51">
        <v>80</v>
      </c>
      <c r="J3">
        <f>I3/100</f>
        <v>0.8</v>
      </c>
      <c r="K3" s="39">
        <f>$B$26/($I$8*(1+$I$14)^K2)</f>
        <v>484.16683291765884</v>
      </c>
      <c r="L3" s="39">
        <f>$B$26/($I$8*(1+$I$14)^L2)</f>
        <v>458.50868680410127</v>
      </c>
    </row>
    <row r="4" spans="1:15" x14ac:dyDescent="0.45">
      <c r="A4" s="79" t="s">
        <v>117</v>
      </c>
      <c r="B4" s="6" t="s">
        <v>14</v>
      </c>
      <c r="C4" s="53">
        <v>100000</v>
      </c>
      <c r="F4" s="36"/>
      <c r="G4" s="5" t="s">
        <v>157</v>
      </c>
      <c r="H4" s="6" t="s">
        <v>40</v>
      </c>
      <c r="I4" s="51">
        <v>20</v>
      </c>
      <c r="J4">
        <f t="shared" ref="J4:J6" si="0">I4/100</f>
        <v>0.2</v>
      </c>
      <c r="K4" t="s">
        <v>169</v>
      </c>
    </row>
    <row r="5" spans="1:15" x14ac:dyDescent="0.45">
      <c r="A5" s="79" t="s">
        <v>154</v>
      </c>
      <c r="B5" s="6" t="s">
        <v>7</v>
      </c>
      <c r="C5" s="53">
        <v>1639087.1040000001</v>
      </c>
      <c r="F5" s="36"/>
      <c r="G5" s="5" t="s">
        <v>160</v>
      </c>
      <c r="H5" s="6" t="s">
        <v>40</v>
      </c>
      <c r="I5" s="51">
        <v>5</v>
      </c>
      <c r="J5">
        <f t="shared" si="0"/>
        <v>0.05</v>
      </c>
    </row>
    <row r="6" spans="1:15" x14ac:dyDescent="0.45">
      <c r="A6" s="5" t="s">
        <v>9</v>
      </c>
      <c r="B6" s="6" t="s">
        <v>10</v>
      </c>
      <c r="C6" s="53">
        <v>8000</v>
      </c>
      <c r="F6" s="36"/>
      <c r="G6" s="5" t="s">
        <v>159</v>
      </c>
      <c r="H6" s="6" t="s">
        <v>40</v>
      </c>
      <c r="I6" s="51">
        <v>8</v>
      </c>
      <c r="J6">
        <f t="shared" si="0"/>
        <v>0.08</v>
      </c>
    </row>
    <row r="7" spans="1:15" x14ac:dyDescent="0.45">
      <c r="A7" s="80" t="s">
        <v>3</v>
      </c>
      <c r="B7" s="6" t="s">
        <v>8</v>
      </c>
      <c r="C7" s="54">
        <v>1456.3109999999999</v>
      </c>
      <c r="D7" s="41" t="s">
        <v>108</v>
      </c>
      <c r="F7" s="36"/>
      <c r="G7" s="5" t="s">
        <v>167</v>
      </c>
      <c r="H7" s="6" t="s">
        <v>163</v>
      </c>
      <c r="I7" s="51">
        <v>30</v>
      </c>
    </row>
    <row r="8" spans="1:15" x14ac:dyDescent="0.45">
      <c r="A8" s="80" t="s">
        <v>5</v>
      </c>
      <c r="B8" s="6" t="s">
        <v>11</v>
      </c>
      <c r="C8" s="28">
        <v>194.227</v>
      </c>
      <c r="D8" s="41" t="s">
        <v>108</v>
      </c>
      <c r="F8" s="36"/>
      <c r="G8" s="5" t="s">
        <v>164</v>
      </c>
      <c r="H8" s="6" t="s">
        <v>163</v>
      </c>
      <c r="I8" s="51">
        <v>2</v>
      </c>
    </row>
    <row r="9" spans="1:15" x14ac:dyDescent="0.45">
      <c r="A9" s="5" t="s">
        <v>128</v>
      </c>
      <c r="B9" s="6" t="s">
        <v>134</v>
      </c>
      <c r="C9" s="53">
        <v>500000</v>
      </c>
      <c r="D9" s="41" t="s">
        <v>129</v>
      </c>
      <c r="F9" s="36"/>
      <c r="G9" s="5" t="s">
        <v>165</v>
      </c>
      <c r="H9" s="6" t="s">
        <v>13</v>
      </c>
      <c r="I9" s="51">
        <v>0</v>
      </c>
    </row>
    <row r="10" spans="1:15" x14ac:dyDescent="0.45">
      <c r="A10" s="79" t="s">
        <v>78</v>
      </c>
      <c r="B10" s="81" t="s">
        <v>7</v>
      </c>
      <c r="C10" s="83">
        <v>10535381.734999999</v>
      </c>
      <c r="F10" s="36"/>
      <c r="G10" s="5" t="s">
        <v>166</v>
      </c>
      <c r="H10" s="6" t="s">
        <v>163</v>
      </c>
      <c r="I10" s="51">
        <v>0</v>
      </c>
    </row>
    <row r="11" spans="1:15" x14ac:dyDescent="0.45">
      <c r="A11" s="5" t="s">
        <v>79</v>
      </c>
      <c r="B11" s="6" t="s">
        <v>73</v>
      </c>
      <c r="C11" s="53">
        <v>102004438.536</v>
      </c>
      <c r="F11" s="36"/>
      <c r="G11" s="5" t="s">
        <v>161</v>
      </c>
      <c r="H11" s="6" t="s">
        <v>28</v>
      </c>
      <c r="I11" s="51" t="s">
        <v>28</v>
      </c>
    </row>
    <row r="12" spans="1:15" x14ac:dyDescent="0.45">
      <c r="A12" s="5" t="s">
        <v>135</v>
      </c>
      <c r="B12" s="6" t="s">
        <v>131</v>
      </c>
      <c r="C12" s="28">
        <v>0</v>
      </c>
      <c r="D12" s="41" t="s">
        <v>127</v>
      </c>
      <c r="F12" s="36"/>
      <c r="G12" s="5" t="s">
        <v>162</v>
      </c>
      <c r="H12" s="6" t="s">
        <v>28</v>
      </c>
      <c r="I12" s="51">
        <v>10</v>
      </c>
      <c r="J12">
        <f t="shared" ref="J12" si="1">I12/100</f>
        <v>0.1</v>
      </c>
    </row>
    <row r="13" spans="1:15" x14ac:dyDescent="0.45">
      <c r="A13" s="5" t="s">
        <v>136</v>
      </c>
      <c r="B13" s="6" t="s">
        <v>126</v>
      </c>
      <c r="C13" s="28">
        <v>0</v>
      </c>
      <c r="D13" s="41" t="s">
        <v>127</v>
      </c>
    </row>
    <row r="14" spans="1:15" x14ac:dyDescent="0.45">
      <c r="A14" s="5" t="s">
        <v>140</v>
      </c>
      <c r="B14" s="6" t="s">
        <v>62</v>
      </c>
      <c r="C14" s="28">
        <v>0</v>
      </c>
      <c r="D14" s="41" t="s">
        <v>127</v>
      </c>
      <c r="I14">
        <f>J4*J6+J3*J5*(1-J12/100)</f>
        <v>5.596000000000001E-2</v>
      </c>
    </row>
    <row r="15" spans="1:15" x14ac:dyDescent="0.45">
      <c r="A15" s="5" t="s">
        <v>80</v>
      </c>
      <c r="B15" s="6" t="s">
        <v>7</v>
      </c>
      <c r="C15" s="53">
        <v>39278665</v>
      </c>
    </row>
    <row r="16" spans="1:15" x14ac:dyDescent="0.45">
      <c r="A16" s="79" t="s">
        <v>82</v>
      </c>
      <c r="B16" s="81" t="s">
        <v>62</v>
      </c>
      <c r="C16" s="82">
        <v>302.52</v>
      </c>
    </row>
    <row r="17" spans="1:16" x14ac:dyDescent="0.45">
      <c r="A17" s="5" t="s">
        <v>104</v>
      </c>
      <c r="B17" s="6" t="s">
        <v>111</v>
      </c>
      <c r="C17" s="28">
        <v>0</v>
      </c>
      <c r="D17" s="41"/>
    </row>
    <row r="18" spans="1:16" x14ac:dyDescent="0.45">
      <c r="A18" s="5" t="s">
        <v>105</v>
      </c>
      <c r="B18" s="6" t="s">
        <v>111</v>
      </c>
      <c r="C18" s="28">
        <v>0</v>
      </c>
    </row>
    <row r="19" spans="1:16" x14ac:dyDescent="0.45">
      <c r="A19" s="5" t="s">
        <v>106</v>
      </c>
      <c r="B19" s="6" t="s">
        <v>111</v>
      </c>
      <c r="C19" s="28">
        <v>0</v>
      </c>
      <c r="D19" s="41" t="s">
        <v>109</v>
      </c>
    </row>
    <row r="20" spans="1:16" x14ac:dyDescent="0.45">
      <c r="A20" s="5" t="s">
        <v>107</v>
      </c>
      <c r="B20" s="6" t="s">
        <v>111</v>
      </c>
      <c r="C20" s="28">
        <v>0</v>
      </c>
      <c r="D20" s="41" t="s">
        <v>110</v>
      </c>
    </row>
    <row r="21" spans="1:16" x14ac:dyDescent="0.45">
      <c r="A21" s="5" t="s">
        <v>155</v>
      </c>
      <c r="B21" s="6" t="s">
        <v>147</v>
      </c>
      <c r="C21" s="28">
        <v>0</v>
      </c>
      <c r="D21" s="41" t="s">
        <v>149</v>
      </c>
    </row>
    <row r="22" spans="1:16" x14ac:dyDescent="0.45">
      <c r="A22" s="37"/>
      <c r="B22" s="38"/>
      <c r="C22" s="36"/>
    </row>
    <row r="24" spans="1:16" ht="18" x14ac:dyDescent="0.55000000000000004">
      <c r="A24" s="24" t="s">
        <v>37</v>
      </c>
      <c r="B24" s="25">
        <f>CAPEX!N25</f>
        <v>845.05918824418347</v>
      </c>
      <c r="C24" s="23" t="s">
        <v>13</v>
      </c>
      <c r="D24" s="27">
        <f>B24/B26*100</f>
        <v>82.644628099173559</v>
      </c>
      <c r="E24" s="26" t="s">
        <v>40</v>
      </c>
      <c r="G24" s="17"/>
      <c r="H24" s="17"/>
      <c r="I24" s="17"/>
      <c r="J24" s="22" t="s">
        <v>60</v>
      </c>
      <c r="K24" s="52">
        <f>OPEX!N25</f>
        <v>7.2626549455261147</v>
      </c>
      <c r="L24" s="21" t="s">
        <v>13</v>
      </c>
      <c r="M24" s="17"/>
      <c r="N24" s="17"/>
      <c r="O24" s="17"/>
      <c r="P24" s="17"/>
    </row>
    <row r="25" spans="1:16" ht="18" x14ac:dyDescent="0.55000000000000004">
      <c r="A25" s="24" t="s">
        <v>38</v>
      </c>
      <c r="B25" s="25">
        <f>CAPEX!N26</f>
        <v>177.46242953127853</v>
      </c>
      <c r="C25" s="23" t="s">
        <v>13</v>
      </c>
      <c r="D25" s="27">
        <f>B25/B26*100</f>
        <v>17.355371900826448</v>
      </c>
      <c r="E25" s="26" t="s">
        <v>40</v>
      </c>
    </row>
    <row r="26" spans="1:16" ht="18" x14ac:dyDescent="0.55000000000000004">
      <c r="A26" s="22" t="s">
        <v>39</v>
      </c>
      <c r="B26" s="52">
        <f>CAPEX!N27</f>
        <v>1022.521617775462</v>
      </c>
      <c r="C26" s="21" t="s">
        <v>13</v>
      </c>
      <c r="D26" s="20"/>
      <c r="E26" s="20"/>
    </row>
  </sheetData>
  <mergeCells count="3">
    <mergeCell ref="A2:C2"/>
    <mergeCell ref="A3:C3"/>
    <mergeCell ref="G2:I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78"/>
  <sheetViews>
    <sheetView topLeftCell="A13" zoomScale="85" zoomScaleNormal="85" workbookViewId="0">
      <selection activeCell="D27" sqref="D27:D28"/>
    </sheetView>
  </sheetViews>
  <sheetFormatPr defaultRowHeight="14.25" x14ac:dyDescent="0.45"/>
  <cols>
    <col min="1" max="1" width="42.1328125" bestFit="1" customWidth="1"/>
    <col min="2" max="2" width="10.3984375" customWidth="1"/>
    <col min="3" max="3" width="17.59765625" customWidth="1"/>
    <col min="4" max="4" width="15.86328125" customWidth="1"/>
    <col min="6" max="6" width="12.86328125" customWidth="1"/>
    <col min="7" max="7" width="11.86328125" customWidth="1"/>
    <col min="9" max="9" width="9.1328125" customWidth="1"/>
    <col min="14" max="14" width="12" bestFit="1" customWidth="1"/>
  </cols>
  <sheetData>
    <row r="2" spans="1:6" ht="15.75" x14ac:dyDescent="0.5">
      <c r="A2" s="57" t="s">
        <v>143</v>
      </c>
      <c r="B2" s="57"/>
      <c r="C2" s="57"/>
      <c r="E2" s="42" t="s">
        <v>99</v>
      </c>
    </row>
    <row r="3" spans="1:6" x14ac:dyDescent="0.45">
      <c r="A3" s="56" t="s">
        <v>12</v>
      </c>
      <c r="B3" s="56"/>
      <c r="C3" s="56"/>
      <c r="E3" s="40" t="s">
        <v>100</v>
      </c>
    </row>
    <row r="4" spans="1:6" x14ac:dyDescent="0.45">
      <c r="A4" s="5" t="s">
        <v>4</v>
      </c>
      <c r="B4" s="6" t="s">
        <v>14</v>
      </c>
      <c r="C4" s="30">
        <f>'INPUTS - SUMMARY'!C4</f>
        <v>100000</v>
      </c>
      <c r="E4" s="40" t="s">
        <v>119</v>
      </c>
    </row>
    <row r="5" spans="1:6" x14ac:dyDescent="0.45">
      <c r="A5" s="5" t="str">
        <f>'INPUTS - SUMMARY'!A5</f>
        <v>Solar Field Aperture Area (Mirror Area)</v>
      </c>
      <c r="B5" s="6" t="str">
        <f>'INPUTS - SUMMARY'!B5</f>
        <v>m2</v>
      </c>
      <c r="C5" s="30">
        <f>'INPUTS - SUMMARY'!C5</f>
        <v>1639087.1040000001</v>
      </c>
      <c r="E5" s="40" t="s">
        <v>101</v>
      </c>
    </row>
    <row r="6" spans="1:6" x14ac:dyDescent="0.45">
      <c r="A6" s="5" t="s">
        <v>9</v>
      </c>
      <c r="B6" s="6" t="s">
        <v>10</v>
      </c>
      <c r="C6" s="30">
        <f>'INPUTS - SUMMARY'!C6</f>
        <v>8000</v>
      </c>
      <c r="E6" s="40" t="s">
        <v>120</v>
      </c>
    </row>
    <row r="7" spans="1:6" x14ac:dyDescent="0.45">
      <c r="A7" s="5" t="s">
        <v>3</v>
      </c>
      <c r="B7" s="6" t="s">
        <v>8</v>
      </c>
      <c r="C7" s="30">
        <f>'INPUTS - SUMMARY'!C7</f>
        <v>1456.3109999999999</v>
      </c>
      <c r="E7" s="40" t="s">
        <v>103</v>
      </c>
    </row>
    <row r="8" spans="1:6" x14ac:dyDescent="0.45">
      <c r="A8" s="5" t="s">
        <v>5</v>
      </c>
      <c r="B8" s="6" t="s">
        <v>11</v>
      </c>
      <c r="C8" s="30">
        <f>'INPUTS - SUMMARY'!C8</f>
        <v>194.227</v>
      </c>
      <c r="F8" s="40" t="s">
        <v>121</v>
      </c>
    </row>
    <row r="9" spans="1:6" x14ac:dyDescent="0.45">
      <c r="A9" s="5" t="s">
        <v>128</v>
      </c>
      <c r="B9" s="6" t="s">
        <v>134</v>
      </c>
      <c r="C9" s="30">
        <f>'INPUTS - SUMMARY'!C9</f>
        <v>500000</v>
      </c>
      <c r="F9" s="40" t="s">
        <v>122</v>
      </c>
    </row>
    <row r="10" spans="1:6" x14ac:dyDescent="0.45">
      <c r="A10" s="5" t="s">
        <v>6</v>
      </c>
      <c r="B10" s="6" t="s">
        <v>7</v>
      </c>
      <c r="C10" s="30">
        <f>'INPUTS - SUMMARY'!C10</f>
        <v>10535381.734999999</v>
      </c>
      <c r="F10" s="40" t="s">
        <v>118</v>
      </c>
    </row>
    <row r="11" spans="1:6" x14ac:dyDescent="0.45">
      <c r="A11" s="5" t="str">
        <f>'INPUTS - SUMMARY'!A11</f>
        <v>PV Installed Capacity</v>
      </c>
      <c r="B11" s="6" t="str">
        <f>'INPUTS - SUMMARY'!B11</f>
        <v>Wdc</v>
      </c>
      <c r="C11" s="30">
        <f>'INPUTS - SUMMARY'!C11</f>
        <v>102004438.536</v>
      </c>
    </row>
    <row r="12" spans="1:6" x14ac:dyDescent="0.45">
      <c r="A12" s="5" t="s">
        <v>135</v>
      </c>
      <c r="B12" s="6" t="s">
        <v>131</v>
      </c>
      <c r="C12" s="30">
        <f>'INPUTS - SUMMARY'!C12</f>
        <v>0</v>
      </c>
    </row>
    <row r="13" spans="1:6" x14ac:dyDescent="0.45">
      <c r="A13" s="5" t="s">
        <v>136</v>
      </c>
      <c r="B13" s="6" t="s">
        <v>126</v>
      </c>
      <c r="C13" s="30">
        <f>'INPUTS - SUMMARY'!C13</f>
        <v>0</v>
      </c>
    </row>
    <row r="14" spans="1:6" x14ac:dyDescent="0.45">
      <c r="A14" s="5" t="s">
        <v>140</v>
      </c>
      <c r="B14" s="6" t="s">
        <v>62</v>
      </c>
      <c r="C14" s="30">
        <f>'INPUTS - SUMMARY'!C14</f>
        <v>0</v>
      </c>
    </row>
    <row r="15" spans="1:6" x14ac:dyDescent="0.45">
      <c r="A15" s="5" t="str">
        <f>'INPUTS - SUMMARY'!A15</f>
        <v>Land Area PV</v>
      </c>
      <c r="B15" s="6" t="str">
        <f>'INPUTS - SUMMARY'!B15</f>
        <v>m2</v>
      </c>
      <c r="C15" s="5">
        <f>'INPUTS - SUMMARY'!C15</f>
        <v>39278665</v>
      </c>
    </row>
    <row r="16" spans="1:6" x14ac:dyDescent="0.45">
      <c r="A16" s="5" t="str">
        <f>'INPUTS - SUMMARY'!A16</f>
        <v>CSP Annual Generation (for OPEX)</v>
      </c>
      <c r="B16" s="6" t="str">
        <f>'INPUTS - SUMMARY'!B16</f>
        <v>GWh/y</v>
      </c>
      <c r="C16" s="5">
        <f>'INPUTS - SUMMARY'!C16</f>
        <v>302.52</v>
      </c>
    </row>
    <row r="17" spans="1:18" x14ac:dyDescent="0.45">
      <c r="A17" s="5" t="str">
        <f>'INPUTS - SUMMARY'!A17</f>
        <v xml:space="preserve">Distance to Grid </v>
      </c>
      <c r="B17" s="6" t="str">
        <f>'INPUTS - SUMMARY'!B17</f>
        <v>km</v>
      </c>
      <c r="C17" s="5">
        <f>'INPUTS - SUMMARY'!C17</f>
        <v>0</v>
      </c>
    </row>
    <row r="18" spans="1:18" x14ac:dyDescent="0.45">
      <c r="A18" s="5" t="str">
        <f>'INPUTS - SUMMARY'!A18</f>
        <v>Distance to Road</v>
      </c>
      <c r="B18" s="6" t="str">
        <f>'INPUTS - SUMMARY'!B18</f>
        <v>km</v>
      </c>
      <c r="C18" s="5">
        <f>'INPUTS - SUMMARY'!C18</f>
        <v>0</v>
      </c>
    </row>
    <row r="19" spans="1:18" x14ac:dyDescent="0.45">
      <c r="A19" s="5" t="str">
        <f>'INPUTS - SUMMARY'!A19</f>
        <v>Distance to Gas</v>
      </c>
      <c r="B19" s="6" t="str">
        <f>'INPUTS - SUMMARY'!B19</f>
        <v>km</v>
      </c>
      <c r="C19" s="5">
        <f>'INPUTS - SUMMARY'!C19</f>
        <v>0</v>
      </c>
    </row>
    <row r="20" spans="1:18" x14ac:dyDescent="0.45">
      <c r="A20" s="5" t="str">
        <f>'INPUTS - SUMMARY'!A20</f>
        <v>Distance to Water</v>
      </c>
      <c r="B20" s="6" t="str">
        <f>'INPUTS - SUMMARY'!B20</f>
        <v>km</v>
      </c>
      <c r="C20" s="5">
        <f>'INPUTS - SUMMARY'!C20</f>
        <v>0</v>
      </c>
    </row>
    <row r="21" spans="1:18" x14ac:dyDescent="0.45">
      <c r="A21" s="5" t="str">
        <f>'INPUTS - SUMMARY'!A21</f>
        <v>Other Component Size</v>
      </c>
      <c r="B21" s="6" t="str">
        <f>'INPUTS - SUMMARY'!B21</f>
        <v>TBD</v>
      </c>
      <c r="C21" s="5">
        <f>'INPUTS - SUMMARY'!C21</f>
        <v>0</v>
      </c>
    </row>
    <row r="23" spans="1:18" x14ac:dyDescent="0.45">
      <c r="D23" s="43">
        <f>SUM(D26:D32)*1.05</f>
        <v>460.21500000000003</v>
      </c>
    </row>
    <row r="24" spans="1:18" ht="21" x14ac:dyDescent="0.65">
      <c r="A24" s="57" t="s">
        <v>41</v>
      </c>
      <c r="B24" s="57"/>
      <c r="C24" s="57"/>
      <c r="D24" s="57"/>
      <c r="E24" s="57"/>
      <c r="F24" s="57"/>
      <c r="G24" s="57"/>
      <c r="I24" s="58" t="s">
        <v>57</v>
      </c>
      <c r="J24" s="58"/>
      <c r="K24" s="58"/>
      <c r="L24" s="58"/>
      <c r="M24" s="58"/>
      <c r="N24" s="58"/>
      <c r="O24" s="58"/>
      <c r="P24" s="58"/>
      <c r="Q24" s="58"/>
      <c r="R24" s="58"/>
    </row>
    <row r="25" spans="1:18" ht="18" x14ac:dyDescent="0.55000000000000004">
      <c r="A25" s="59" t="s">
        <v>12</v>
      </c>
      <c r="B25" s="60"/>
      <c r="C25" s="61"/>
      <c r="D25" s="56" t="s">
        <v>0</v>
      </c>
      <c r="E25" s="56"/>
      <c r="F25" s="56" t="s">
        <v>16</v>
      </c>
      <c r="G25" s="56"/>
      <c r="I25" s="19"/>
      <c r="J25" s="19"/>
      <c r="K25" s="19"/>
      <c r="L25" s="23"/>
      <c r="M25" s="24" t="s">
        <v>37</v>
      </c>
      <c r="N25" s="25">
        <f>D72</f>
        <v>845.05918824418347</v>
      </c>
      <c r="O25" s="23" t="s">
        <v>13</v>
      </c>
      <c r="P25" s="27">
        <f>N25/N27*100</f>
        <v>82.644628099173559</v>
      </c>
      <c r="Q25" s="26" t="s">
        <v>40</v>
      </c>
      <c r="R25" s="19"/>
    </row>
    <row r="26" spans="1:18" ht="18" x14ac:dyDescent="0.55000000000000004">
      <c r="A26" s="5" t="s">
        <v>61</v>
      </c>
      <c r="B26" s="6" t="s">
        <v>14</v>
      </c>
      <c r="C26" s="2">
        <v>190000</v>
      </c>
      <c r="D26" s="3">
        <v>87.5</v>
      </c>
      <c r="E26" s="6" t="s">
        <v>13</v>
      </c>
      <c r="F26" s="4">
        <f>D26*1000000/(C26)</f>
        <v>460.5263157894737</v>
      </c>
      <c r="G26" s="6" t="s">
        <v>15</v>
      </c>
      <c r="I26" s="19"/>
      <c r="J26" s="19"/>
      <c r="K26" s="19"/>
      <c r="L26" s="23"/>
      <c r="M26" s="24" t="s">
        <v>38</v>
      </c>
      <c r="N26" s="25">
        <f>D77</f>
        <v>177.46242953127853</v>
      </c>
      <c r="O26" s="23" t="s">
        <v>13</v>
      </c>
      <c r="P26" s="27">
        <f>N26/N27*100</f>
        <v>17.355371900826448</v>
      </c>
      <c r="Q26" s="26" t="s">
        <v>40</v>
      </c>
      <c r="R26" s="19"/>
    </row>
    <row r="27" spans="1:18" ht="18" x14ac:dyDescent="0.55000000000000004">
      <c r="A27" s="5" t="s">
        <v>152</v>
      </c>
      <c r="B27" s="6" t="s">
        <v>14</v>
      </c>
      <c r="C27" s="2">
        <v>110000</v>
      </c>
      <c r="D27" s="45">
        <v>74.8</v>
      </c>
      <c r="E27" s="6" t="s">
        <v>13</v>
      </c>
      <c r="F27" s="4">
        <f>D27*1000000/(C27)</f>
        <v>680</v>
      </c>
      <c r="G27" s="6" t="s">
        <v>15</v>
      </c>
      <c r="I27" s="20"/>
      <c r="J27" s="20"/>
      <c r="K27" s="20"/>
      <c r="L27" s="21"/>
      <c r="M27" s="22" t="s">
        <v>39</v>
      </c>
      <c r="N27" s="52">
        <f>D78</f>
        <v>1022.521617775462</v>
      </c>
      <c r="O27" s="21" t="s">
        <v>13</v>
      </c>
      <c r="P27" s="20"/>
      <c r="Q27" s="20"/>
      <c r="R27" s="20"/>
    </row>
    <row r="28" spans="1:18" x14ac:dyDescent="0.45">
      <c r="A28" s="5" t="s">
        <v>153</v>
      </c>
      <c r="B28" s="6" t="s">
        <v>7</v>
      </c>
      <c r="C28" s="2">
        <v>1000000</v>
      </c>
      <c r="D28" s="45">
        <v>115</v>
      </c>
      <c r="E28" s="6" t="s">
        <v>13</v>
      </c>
      <c r="F28" s="4">
        <f>D28*1000000/C28</f>
        <v>115</v>
      </c>
      <c r="G28" s="6" t="s">
        <v>17</v>
      </c>
    </row>
    <row r="29" spans="1:18" x14ac:dyDescent="0.45">
      <c r="A29" s="5" t="s">
        <v>9</v>
      </c>
      <c r="B29" s="6" t="s">
        <v>10</v>
      </c>
      <c r="C29" s="2">
        <v>3271</v>
      </c>
      <c r="D29" s="3">
        <v>66</v>
      </c>
      <c r="E29" s="6" t="s">
        <v>13</v>
      </c>
      <c r="F29" s="4">
        <f>D29*1000000/(C29*1000)</f>
        <v>20.177315805564049</v>
      </c>
      <c r="G29" s="6" t="s">
        <v>18</v>
      </c>
    </row>
    <row r="30" spans="1:18" x14ac:dyDescent="0.45">
      <c r="A30" s="5" t="s">
        <v>3</v>
      </c>
      <c r="B30" s="6" t="s">
        <v>8</v>
      </c>
      <c r="C30" s="2">
        <v>565</v>
      </c>
      <c r="D30" s="3">
        <v>55</v>
      </c>
      <c r="E30" s="6" t="s">
        <v>13</v>
      </c>
      <c r="F30" s="4">
        <f>D30*1000000/C30</f>
        <v>97345.132743362832</v>
      </c>
      <c r="G30" s="6" t="s">
        <v>19</v>
      </c>
    </row>
    <row r="31" spans="1:18" x14ac:dyDescent="0.45">
      <c r="A31" s="5" t="s">
        <v>5</v>
      </c>
      <c r="B31" s="6" t="s">
        <v>11</v>
      </c>
      <c r="C31" s="2">
        <v>200</v>
      </c>
      <c r="D31" s="3">
        <v>30</v>
      </c>
      <c r="E31" s="6" t="s">
        <v>13</v>
      </c>
      <c r="F31" s="4">
        <f>D31*1000000/C31</f>
        <v>150000</v>
      </c>
      <c r="G31" s="6" t="s">
        <v>20</v>
      </c>
    </row>
    <row r="32" spans="1:18" x14ac:dyDescent="0.45">
      <c r="A32" s="5" t="s">
        <v>76</v>
      </c>
      <c r="B32" s="6" t="s">
        <v>7</v>
      </c>
      <c r="C32" s="2">
        <v>5000000</v>
      </c>
      <c r="D32" s="3">
        <v>10</v>
      </c>
      <c r="E32" s="6" t="s">
        <v>13</v>
      </c>
      <c r="F32" s="4">
        <f>D32*1000000/C32</f>
        <v>2</v>
      </c>
      <c r="G32" s="6" t="s">
        <v>17</v>
      </c>
    </row>
    <row r="33" spans="1:7" x14ac:dyDescent="0.45">
      <c r="A33" s="5" t="s">
        <v>130</v>
      </c>
      <c r="B33" s="6" t="s">
        <v>14</v>
      </c>
      <c r="C33" s="2">
        <v>1000000</v>
      </c>
      <c r="D33" s="3">
        <v>70</v>
      </c>
      <c r="E33" s="6" t="s">
        <v>13</v>
      </c>
      <c r="F33" s="4">
        <f>D33*1000000/(C33)</f>
        <v>70</v>
      </c>
      <c r="G33" s="6" t="s">
        <v>133</v>
      </c>
    </row>
    <row r="34" spans="1:7" x14ac:dyDescent="0.45">
      <c r="A34" s="5" t="s">
        <v>112</v>
      </c>
      <c r="B34" s="6" t="s">
        <v>111</v>
      </c>
      <c r="C34" s="2">
        <v>1</v>
      </c>
      <c r="D34" s="3">
        <v>1.5</v>
      </c>
      <c r="E34" s="6" t="s">
        <v>13</v>
      </c>
      <c r="F34" s="4">
        <f>D34/C34</f>
        <v>1.5</v>
      </c>
      <c r="G34" s="6" t="s">
        <v>116</v>
      </c>
    </row>
    <row r="35" spans="1:7" x14ac:dyDescent="0.45">
      <c r="A35" s="5" t="s">
        <v>113</v>
      </c>
      <c r="B35" s="6" t="s">
        <v>111</v>
      </c>
      <c r="C35" s="2">
        <v>1</v>
      </c>
      <c r="D35" s="3">
        <v>1.2</v>
      </c>
      <c r="E35" s="6" t="s">
        <v>13</v>
      </c>
      <c r="F35" s="4">
        <f>D35/C35</f>
        <v>1.2</v>
      </c>
      <c r="G35" s="6" t="s">
        <v>116</v>
      </c>
    </row>
    <row r="36" spans="1:7" x14ac:dyDescent="0.45">
      <c r="A36" s="5" t="s">
        <v>114</v>
      </c>
      <c r="B36" s="6" t="s">
        <v>111</v>
      </c>
      <c r="C36" s="2">
        <v>1</v>
      </c>
      <c r="D36" s="3">
        <v>1</v>
      </c>
      <c r="E36" s="6" t="s">
        <v>13</v>
      </c>
      <c r="F36" s="4">
        <f>D36/C36</f>
        <v>1</v>
      </c>
      <c r="G36" s="6" t="s">
        <v>116</v>
      </c>
    </row>
    <row r="37" spans="1:7" x14ac:dyDescent="0.45">
      <c r="A37" s="5" t="s">
        <v>115</v>
      </c>
      <c r="B37" s="6" t="s">
        <v>111</v>
      </c>
      <c r="C37" s="2">
        <v>1</v>
      </c>
      <c r="D37" s="3">
        <v>1</v>
      </c>
      <c r="E37" s="6" t="s">
        <v>13</v>
      </c>
      <c r="F37" s="4">
        <f>D37/C37</f>
        <v>1</v>
      </c>
      <c r="G37" s="6" t="s">
        <v>116</v>
      </c>
    </row>
    <row r="38" spans="1:7" x14ac:dyDescent="0.45">
      <c r="A38" s="5" t="s">
        <v>135</v>
      </c>
      <c r="B38" s="6" t="s">
        <v>131</v>
      </c>
      <c r="C38" s="2">
        <v>1</v>
      </c>
      <c r="D38" s="3">
        <v>0.22500000000000001</v>
      </c>
      <c r="E38" s="6" t="s">
        <v>13</v>
      </c>
      <c r="F38" s="4">
        <f>D38*1000/C38</f>
        <v>225</v>
      </c>
      <c r="G38" s="6" t="s">
        <v>137</v>
      </c>
    </row>
    <row r="39" spans="1:7" x14ac:dyDescent="0.45">
      <c r="A39" s="5" t="s">
        <v>145</v>
      </c>
      <c r="B39" s="6" t="s">
        <v>126</v>
      </c>
      <c r="C39" s="2">
        <v>1</v>
      </c>
      <c r="D39" s="3">
        <f>0.209*1.45</f>
        <v>0.30304999999999999</v>
      </c>
      <c r="E39" s="6" t="s">
        <v>13</v>
      </c>
      <c r="F39" s="4">
        <f>D39*1000/C39</f>
        <v>303.05</v>
      </c>
      <c r="G39" s="6" t="s">
        <v>132</v>
      </c>
    </row>
    <row r="40" spans="1:7" x14ac:dyDescent="0.45">
      <c r="A40" s="5" t="s">
        <v>146</v>
      </c>
      <c r="B40" s="6" t="s">
        <v>28</v>
      </c>
      <c r="C40" s="2">
        <v>1</v>
      </c>
      <c r="D40" s="3">
        <v>0</v>
      </c>
      <c r="E40" s="6" t="s">
        <v>13</v>
      </c>
      <c r="F40" s="4">
        <f>D40/C40</f>
        <v>0</v>
      </c>
      <c r="G40" s="6" t="s">
        <v>148</v>
      </c>
    </row>
    <row r="41" spans="1:7" x14ac:dyDescent="0.45">
      <c r="A41" s="5" t="s">
        <v>66</v>
      </c>
      <c r="B41" s="6" t="s">
        <v>74</v>
      </c>
      <c r="C41" s="2">
        <v>1000000</v>
      </c>
      <c r="D41" s="45">
        <v>0.3</v>
      </c>
      <c r="E41" s="6" t="s">
        <v>13</v>
      </c>
      <c r="F41" s="4">
        <f>D41*1000000/C41</f>
        <v>0.3</v>
      </c>
      <c r="G41" s="6" t="s">
        <v>75</v>
      </c>
    </row>
    <row r="42" spans="1:7" x14ac:dyDescent="0.45">
      <c r="A42" s="5" t="s">
        <v>68</v>
      </c>
      <c r="B42" s="6" t="s">
        <v>74</v>
      </c>
      <c r="C42" s="2">
        <v>1000000</v>
      </c>
      <c r="D42" s="3">
        <v>0.1</v>
      </c>
      <c r="E42" s="6" t="s">
        <v>13</v>
      </c>
      <c r="F42" s="4">
        <f>D42*1000000/C42</f>
        <v>0.1</v>
      </c>
      <c r="G42" s="6" t="s">
        <v>75</v>
      </c>
    </row>
    <row r="43" spans="1:7" x14ac:dyDescent="0.45">
      <c r="A43" s="5" t="s">
        <v>67</v>
      </c>
      <c r="B43" s="6" t="s">
        <v>74</v>
      </c>
      <c r="C43" s="2">
        <v>1000000</v>
      </c>
      <c r="D43" s="3">
        <v>0.3</v>
      </c>
      <c r="E43" s="6" t="s">
        <v>13</v>
      </c>
      <c r="F43" s="4">
        <f>D43*1000000/C43</f>
        <v>0.3</v>
      </c>
      <c r="G43" s="6" t="s">
        <v>75</v>
      </c>
    </row>
    <row r="44" spans="1:7" x14ac:dyDescent="0.45">
      <c r="A44" s="5" t="s">
        <v>72</v>
      </c>
      <c r="B44" s="6" t="s">
        <v>74</v>
      </c>
      <c r="C44" s="2">
        <v>1000000</v>
      </c>
      <c r="D44" s="3">
        <v>0.2</v>
      </c>
      <c r="E44" s="6" t="s">
        <v>13</v>
      </c>
      <c r="F44" s="4">
        <f>D44*1000000/C44</f>
        <v>0.2</v>
      </c>
      <c r="G44" s="6" t="s">
        <v>75</v>
      </c>
    </row>
    <row r="45" spans="1:7" x14ac:dyDescent="0.45">
      <c r="A45" s="5" t="s">
        <v>77</v>
      </c>
      <c r="B45" s="6" t="s">
        <v>7</v>
      </c>
      <c r="C45" s="2">
        <v>5000</v>
      </c>
      <c r="D45" s="3">
        <v>0.01</v>
      </c>
      <c r="E45" s="6" t="s">
        <v>13</v>
      </c>
      <c r="F45" s="4">
        <f>D45*1000000/C45</f>
        <v>2</v>
      </c>
      <c r="G45" s="6" t="s">
        <v>17</v>
      </c>
    </row>
    <row r="46" spans="1:7" x14ac:dyDescent="0.45">
      <c r="D46" s="44">
        <f>SUM(D41:D44)</f>
        <v>0.89999999999999991</v>
      </c>
      <c r="F46" s="39"/>
    </row>
    <row r="47" spans="1:7" x14ac:dyDescent="0.45">
      <c r="A47" s="71" t="s">
        <v>21</v>
      </c>
      <c r="B47" s="72"/>
      <c r="C47" s="72"/>
      <c r="D47" s="72"/>
      <c r="E47" s="72"/>
      <c r="F47" s="72"/>
      <c r="G47" s="73"/>
    </row>
    <row r="48" spans="1:7" x14ac:dyDescent="0.45">
      <c r="A48" s="62" t="s">
        <v>23</v>
      </c>
      <c r="B48" s="63"/>
      <c r="C48" s="63"/>
      <c r="D48" s="63"/>
      <c r="E48" s="63"/>
      <c r="F48" s="63"/>
      <c r="G48" s="64"/>
    </row>
    <row r="49" spans="1:7" x14ac:dyDescent="0.45">
      <c r="A49" s="5" t="s">
        <v>22</v>
      </c>
      <c r="B49" s="5" t="s">
        <v>25</v>
      </c>
      <c r="C49" s="5" t="s">
        <v>27</v>
      </c>
      <c r="D49" s="59" t="s">
        <v>26</v>
      </c>
      <c r="E49" s="61"/>
      <c r="F49" s="59" t="s">
        <v>31</v>
      </c>
      <c r="G49" s="61"/>
    </row>
    <row r="50" spans="1:7" x14ac:dyDescent="0.45">
      <c r="A50" s="5" t="s">
        <v>91</v>
      </c>
      <c r="B50" s="9">
        <v>0.8</v>
      </c>
      <c r="C50" s="1">
        <f>C4</f>
        <v>100000</v>
      </c>
      <c r="D50" s="4">
        <f>D26*(C50/C26)^B50</f>
        <v>52.360667247835302</v>
      </c>
      <c r="E50" s="6" t="s">
        <v>13</v>
      </c>
      <c r="F50" s="4">
        <f>D50*1000000/C50</f>
        <v>523.60667247835306</v>
      </c>
      <c r="G50" s="6" t="s">
        <v>15</v>
      </c>
    </row>
    <row r="51" spans="1:7" x14ac:dyDescent="0.45">
      <c r="A51" s="5" t="s">
        <v>92</v>
      </c>
      <c r="B51" s="9">
        <v>0.8</v>
      </c>
      <c r="C51" s="1">
        <f>C4</f>
        <v>100000</v>
      </c>
      <c r="D51" s="4">
        <f>D27*(C51/C27)^B51</f>
        <v>69.308651601419044</v>
      </c>
      <c r="E51" s="6" t="s">
        <v>13</v>
      </c>
      <c r="F51" s="4">
        <f>D51*1000000/C51</f>
        <v>693.08651601419047</v>
      </c>
      <c r="G51" s="6" t="s">
        <v>15</v>
      </c>
    </row>
    <row r="52" spans="1:7" x14ac:dyDescent="0.45">
      <c r="A52" s="5" t="s">
        <v>93</v>
      </c>
      <c r="B52" s="9">
        <v>0.8</v>
      </c>
      <c r="C52" s="1">
        <f>C6</f>
        <v>8000</v>
      </c>
      <c r="D52" s="4">
        <f>D29*(C52/C29)^B52</f>
        <v>134.9806421297381</v>
      </c>
      <c r="E52" s="6" t="s">
        <v>13</v>
      </c>
      <c r="F52" s="4">
        <f>D52*1000000/C52/1000</f>
        <v>16.872580266217263</v>
      </c>
      <c r="G52" s="6" t="s">
        <v>18</v>
      </c>
    </row>
    <row r="53" spans="1:7" x14ac:dyDescent="0.45">
      <c r="A53" s="5" t="s">
        <v>94</v>
      </c>
      <c r="B53" s="9">
        <v>1</v>
      </c>
      <c r="C53" s="1">
        <f>C5</f>
        <v>1639087.1040000001</v>
      </c>
      <c r="D53" s="4">
        <f>D28*(C53/C28)^B53</f>
        <v>188.49501696000002</v>
      </c>
      <c r="E53" s="6" t="s">
        <v>13</v>
      </c>
      <c r="F53" s="4">
        <f>D53*1000000/C53</f>
        <v>115</v>
      </c>
      <c r="G53" s="6" t="s">
        <v>17</v>
      </c>
    </row>
    <row r="54" spans="1:7" x14ac:dyDescent="0.45">
      <c r="A54" s="5" t="s">
        <v>95</v>
      </c>
      <c r="B54" s="9">
        <v>0.2</v>
      </c>
      <c r="C54" s="1">
        <f>C7</f>
        <v>1456.3109999999999</v>
      </c>
      <c r="D54" s="4">
        <f>D30*(C54/C30)^B54</f>
        <v>66.466655441331696</v>
      </c>
      <c r="E54" s="6" t="s">
        <v>13</v>
      </c>
      <c r="F54" s="4">
        <f>D54*1000000/C54</f>
        <v>45640.426695487229</v>
      </c>
      <c r="G54" s="6" t="s">
        <v>19</v>
      </c>
    </row>
    <row r="55" spans="1:7" x14ac:dyDescent="0.45">
      <c r="A55" s="5" t="s">
        <v>96</v>
      </c>
      <c r="B55" s="9">
        <v>0.8</v>
      </c>
      <c r="C55" s="1">
        <f>C8</f>
        <v>194.227</v>
      </c>
      <c r="D55" s="4">
        <f>D31*(C55/C31)^B55</f>
        <v>29.305216886830916</v>
      </c>
      <c r="E55" s="6" t="s">
        <v>13</v>
      </c>
      <c r="F55" s="4">
        <f>D55*1000000/C55</f>
        <v>150881.27236085053</v>
      </c>
      <c r="G55" s="6" t="s">
        <v>20</v>
      </c>
    </row>
    <row r="56" spans="1:7" x14ac:dyDescent="0.45">
      <c r="A56" s="5" t="s">
        <v>71</v>
      </c>
      <c r="B56" s="9">
        <v>0.9</v>
      </c>
      <c r="C56" s="1">
        <f>C10</f>
        <v>10535381.734999999</v>
      </c>
      <c r="D56" s="4">
        <f>D32*(C56/C32)^B56</f>
        <v>19.557450726975485</v>
      </c>
      <c r="E56" s="6" t="s">
        <v>13</v>
      </c>
      <c r="F56" s="4">
        <f>D56*1000000/C56</f>
        <v>1.8563590023513739</v>
      </c>
      <c r="G56" s="6" t="s">
        <v>17</v>
      </c>
    </row>
    <row r="57" spans="1:7" x14ac:dyDescent="0.45">
      <c r="A57" s="5" t="s">
        <v>130</v>
      </c>
      <c r="B57" s="9">
        <v>1</v>
      </c>
      <c r="C57" s="1">
        <f>C9</f>
        <v>500000</v>
      </c>
      <c r="D57" s="4">
        <f>D33/C33*C57</f>
        <v>35</v>
      </c>
      <c r="E57" s="6" t="s">
        <v>13</v>
      </c>
      <c r="F57" s="4">
        <f>D57*1000000/MAX(0.000001,C57)</f>
        <v>70</v>
      </c>
      <c r="G57" s="6" t="s">
        <v>15</v>
      </c>
    </row>
    <row r="58" spans="1:7" x14ac:dyDescent="0.45">
      <c r="A58" s="5" t="s">
        <v>112</v>
      </c>
      <c r="B58" s="9">
        <v>1</v>
      </c>
      <c r="C58" s="1">
        <f>C17</f>
        <v>0</v>
      </c>
      <c r="D58" s="4">
        <f t="shared" ref="D58:D69" si="0">D34*(C58/C34)^B58</f>
        <v>0</v>
      </c>
      <c r="E58" s="6" t="s">
        <v>13</v>
      </c>
      <c r="F58" s="4" t="e">
        <f>D58/C58</f>
        <v>#DIV/0!</v>
      </c>
      <c r="G58" s="6" t="s">
        <v>116</v>
      </c>
    </row>
    <row r="59" spans="1:7" x14ac:dyDescent="0.45">
      <c r="A59" s="5" t="s">
        <v>113</v>
      </c>
      <c r="B59" s="9">
        <v>1</v>
      </c>
      <c r="C59" s="1">
        <v>2</v>
      </c>
      <c r="D59" s="4">
        <f t="shared" si="0"/>
        <v>2.4</v>
      </c>
      <c r="E59" s="6" t="s">
        <v>13</v>
      </c>
      <c r="F59" s="4">
        <f>D59/C59</f>
        <v>1.2</v>
      </c>
      <c r="G59" s="6" t="s">
        <v>116</v>
      </c>
    </row>
    <row r="60" spans="1:7" x14ac:dyDescent="0.45">
      <c r="A60" s="5" t="s">
        <v>114</v>
      </c>
      <c r="B60" s="9">
        <v>1</v>
      </c>
      <c r="C60" s="1">
        <f>C19</f>
        <v>0</v>
      </c>
      <c r="D60" s="4">
        <f t="shared" si="0"/>
        <v>0</v>
      </c>
      <c r="E60" s="6" t="s">
        <v>13</v>
      </c>
      <c r="F60" s="4" t="e">
        <f>D60/C60</f>
        <v>#DIV/0!</v>
      </c>
      <c r="G60" s="6" t="s">
        <v>116</v>
      </c>
    </row>
    <row r="61" spans="1:7" x14ac:dyDescent="0.45">
      <c r="A61" s="5" t="s">
        <v>115</v>
      </c>
      <c r="B61" s="9">
        <v>1</v>
      </c>
      <c r="C61" s="1">
        <f>C20</f>
        <v>0</v>
      </c>
      <c r="D61" s="4">
        <f t="shared" si="0"/>
        <v>0</v>
      </c>
      <c r="E61" s="6" t="s">
        <v>13</v>
      </c>
      <c r="F61" s="4" t="e">
        <f>D61/C61</f>
        <v>#DIV/0!</v>
      </c>
      <c r="G61" s="6" t="s">
        <v>116</v>
      </c>
    </row>
    <row r="62" spans="1:7" x14ac:dyDescent="0.45">
      <c r="A62" s="5" t="s">
        <v>138</v>
      </c>
      <c r="B62" s="9">
        <v>1</v>
      </c>
      <c r="C62" s="1">
        <f>C12</f>
        <v>0</v>
      </c>
      <c r="D62" s="4">
        <f t="shared" si="0"/>
        <v>0</v>
      </c>
      <c r="E62" s="6" t="s">
        <v>13</v>
      </c>
      <c r="F62" s="4">
        <f>D62/MAX(0.000001,C62)</f>
        <v>0</v>
      </c>
      <c r="G62" s="6" t="s">
        <v>15</v>
      </c>
    </row>
    <row r="63" spans="1:7" x14ac:dyDescent="0.45">
      <c r="A63" s="5" t="s">
        <v>139</v>
      </c>
      <c r="B63" s="9">
        <v>1</v>
      </c>
      <c r="C63" s="1">
        <f>C13</f>
        <v>0</v>
      </c>
      <c r="D63" s="4">
        <f t="shared" si="0"/>
        <v>0</v>
      </c>
      <c r="E63" s="6" t="s">
        <v>13</v>
      </c>
      <c r="F63" s="4">
        <f>D63/MAX(0.000001,C63)</f>
        <v>0</v>
      </c>
      <c r="G63" s="6" t="s">
        <v>132</v>
      </c>
    </row>
    <row r="64" spans="1:7" x14ac:dyDescent="0.45">
      <c r="A64" s="5" t="s">
        <v>146</v>
      </c>
      <c r="B64" s="9">
        <v>1</v>
      </c>
      <c r="C64" s="1">
        <f>C21</f>
        <v>0</v>
      </c>
      <c r="D64" s="4">
        <f t="shared" si="0"/>
        <v>0</v>
      </c>
      <c r="E64" s="6" t="s">
        <v>13</v>
      </c>
      <c r="F64" s="4">
        <f>D64/MAX(0.000001,C64)</f>
        <v>0</v>
      </c>
      <c r="G64" s="6" t="s">
        <v>148</v>
      </c>
    </row>
    <row r="65" spans="1:7" x14ac:dyDescent="0.45">
      <c r="A65" s="5" t="s">
        <v>66</v>
      </c>
      <c r="B65" s="9">
        <v>1</v>
      </c>
      <c r="C65" s="1">
        <f>C11</f>
        <v>102004438.536</v>
      </c>
      <c r="D65" s="4">
        <f t="shared" si="0"/>
        <v>30.601331560799998</v>
      </c>
      <c r="E65" s="6" t="s">
        <v>13</v>
      </c>
      <c r="F65" s="4">
        <f>D65*1000000/C65</f>
        <v>0.3</v>
      </c>
      <c r="G65" s="6" t="s">
        <v>75</v>
      </c>
    </row>
    <row r="66" spans="1:7" x14ac:dyDescent="0.45">
      <c r="A66" s="5" t="s">
        <v>68</v>
      </c>
      <c r="B66" s="9">
        <v>1</v>
      </c>
      <c r="C66" s="1">
        <f>C11</f>
        <v>102004438.536</v>
      </c>
      <c r="D66" s="4">
        <f t="shared" si="0"/>
        <v>10.200443853599999</v>
      </c>
      <c r="E66" s="6" t="s">
        <v>13</v>
      </c>
      <c r="F66" s="4">
        <f>D66*1000000/C66</f>
        <v>9.9999999999999992E-2</v>
      </c>
      <c r="G66" s="6" t="s">
        <v>75</v>
      </c>
    </row>
    <row r="67" spans="1:7" x14ac:dyDescent="0.45">
      <c r="A67" s="5" t="s">
        <v>69</v>
      </c>
      <c r="B67" s="9">
        <v>1</v>
      </c>
      <c r="C67" s="1">
        <f>C11</f>
        <v>102004438.536</v>
      </c>
      <c r="D67" s="4">
        <f t="shared" si="0"/>
        <v>30.601331560799998</v>
      </c>
      <c r="E67" s="6" t="s">
        <v>13</v>
      </c>
      <c r="F67" s="4">
        <f>D67*1000000/C67</f>
        <v>0.3</v>
      </c>
      <c r="G67" s="6" t="s">
        <v>75</v>
      </c>
    </row>
    <row r="68" spans="1:7" x14ac:dyDescent="0.45">
      <c r="A68" s="5" t="s">
        <v>70</v>
      </c>
      <c r="B68" s="9">
        <v>1</v>
      </c>
      <c r="C68" s="1">
        <f>C11</f>
        <v>102004438.536</v>
      </c>
      <c r="D68" s="4">
        <f t="shared" si="0"/>
        <v>20.400887707199999</v>
      </c>
      <c r="E68" s="6" t="s">
        <v>13</v>
      </c>
      <c r="F68" s="4">
        <f>D68*1000000/C68</f>
        <v>0.19999999999999998</v>
      </c>
      <c r="G68" s="6" t="s">
        <v>75</v>
      </c>
    </row>
    <row r="69" spans="1:7" x14ac:dyDescent="0.45">
      <c r="A69" s="5" t="s">
        <v>81</v>
      </c>
      <c r="B69" s="9">
        <v>1</v>
      </c>
      <c r="C69" s="1">
        <f>C15</f>
        <v>39278665</v>
      </c>
      <c r="D69" s="4">
        <f t="shared" si="0"/>
        <v>78.557330000000007</v>
      </c>
      <c r="E69" s="6" t="s">
        <v>13</v>
      </c>
      <c r="F69" s="4">
        <f>D69*1000000/C69</f>
        <v>2</v>
      </c>
      <c r="G69" s="6" t="s">
        <v>17</v>
      </c>
    </row>
    <row r="70" spans="1:7" x14ac:dyDescent="0.45">
      <c r="A70" s="74" t="s">
        <v>29</v>
      </c>
      <c r="B70" s="74"/>
      <c r="C70" s="75"/>
      <c r="D70" s="8">
        <f>SUM(D50:D69)</f>
        <v>768.23562567653039</v>
      </c>
      <c r="E70" s="7" t="s">
        <v>13</v>
      </c>
      <c r="F70" s="8">
        <f>D70*1000000/(C65/1000 + C50)</f>
        <v>3803.0630972478366</v>
      </c>
      <c r="G70" s="7" t="s">
        <v>15</v>
      </c>
    </row>
    <row r="71" spans="1:7" x14ac:dyDescent="0.45">
      <c r="A71" s="5" t="s">
        <v>24</v>
      </c>
      <c r="B71" s="1" t="s">
        <v>28</v>
      </c>
      <c r="C71" s="9">
        <v>0.1</v>
      </c>
      <c r="D71" s="4">
        <f>C71*D70</f>
        <v>76.823562567653042</v>
      </c>
      <c r="E71" s="6" t="s">
        <v>13</v>
      </c>
      <c r="F71" s="4">
        <f>D71*1000000/C50</f>
        <v>768.2356256765305</v>
      </c>
      <c r="G71" s="6" t="s">
        <v>15</v>
      </c>
    </row>
    <row r="72" spans="1:7" ht="18" x14ac:dyDescent="0.55000000000000004">
      <c r="A72" s="65" t="s">
        <v>30</v>
      </c>
      <c r="B72" s="66"/>
      <c r="C72" s="67"/>
      <c r="D72" s="12">
        <f>D70+D71</f>
        <v>845.05918824418347</v>
      </c>
      <c r="E72" s="11" t="s">
        <v>13</v>
      </c>
      <c r="F72" s="13">
        <f>D72*1000000/(C50+C65/1000)</f>
        <v>4183.3694069726198</v>
      </c>
      <c r="G72" s="10" t="s">
        <v>15</v>
      </c>
    </row>
    <row r="73" spans="1:7" x14ac:dyDescent="0.45">
      <c r="A73" s="62" t="s">
        <v>32</v>
      </c>
      <c r="B73" s="63"/>
      <c r="C73" s="63"/>
      <c r="D73" s="63"/>
      <c r="E73" s="63"/>
      <c r="F73" s="63"/>
      <c r="G73" s="64"/>
    </row>
    <row r="74" spans="1:7" x14ac:dyDescent="0.45">
      <c r="A74" s="1" t="s">
        <v>33</v>
      </c>
      <c r="B74" s="1" t="s">
        <v>28</v>
      </c>
      <c r="C74" s="9">
        <v>7.0000000000000007E-2</v>
      </c>
      <c r="D74" s="4">
        <f>D72*C74</f>
        <v>59.154143177092848</v>
      </c>
      <c r="E74" s="6" t="s">
        <v>13</v>
      </c>
      <c r="F74" s="4">
        <f>D74*1000000/$C$50</f>
        <v>591.54143177092851</v>
      </c>
      <c r="G74" s="6" t="s">
        <v>15</v>
      </c>
    </row>
    <row r="75" spans="1:7" x14ac:dyDescent="0.45">
      <c r="A75" s="1" t="s">
        <v>34</v>
      </c>
      <c r="B75" s="1" t="s">
        <v>28</v>
      </c>
      <c r="C75" s="9">
        <v>0</v>
      </c>
      <c r="D75" s="4">
        <f>D72*C75</f>
        <v>0</v>
      </c>
      <c r="E75" s="6" t="s">
        <v>13</v>
      </c>
      <c r="F75" s="4">
        <f t="shared" ref="F75:F76" si="1">D75*1000000/$C$50</f>
        <v>0</v>
      </c>
      <c r="G75" s="6" t="s">
        <v>15</v>
      </c>
    </row>
    <row r="76" spans="1:7" x14ac:dyDescent="0.45">
      <c r="A76" s="1" t="s">
        <v>35</v>
      </c>
      <c r="B76" s="1" t="s">
        <v>28</v>
      </c>
      <c r="C76" s="9">
        <v>0.14000000000000001</v>
      </c>
      <c r="D76" s="4">
        <f>D72*C76</f>
        <v>118.3082863541857</v>
      </c>
      <c r="E76" s="6" t="s">
        <v>13</v>
      </c>
      <c r="F76" s="4">
        <f t="shared" si="1"/>
        <v>1183.082863541857</v>
      </c>
      <c r="G76" s="6" t="s">
        <v>15</v>
      </c>
    </row>
    <row r="77" spans="1:7" ht="18" x14ac:dyDescent="0.55000000000000004">
      <c r="A77" s="65" t="s">
        <v>36</v>
      </c>
      <c r="B77" s="66"/>
      <c r="C77" s="67"/>
      <c r="D77" s="12">
        <f>SUM(D74:D76)</f>
        <v>177.46242953127853</v>
      </c>
      <c r="E77" s="11" t="s">
        <v>13</v>
      </c>
      <c r="F77" s="13">
        <f>D77*1000000/(C50+C65/1000)</f>
        <v>878.50757546425029</v>
      </c>
      <c r="G77" s="10" t="s">
        <v>15</v>
      </c>
    </row>
    <row r="78" spans="1:7" ht="18" x14ac:dyDescent="0.55000000000000004">
      <c r="A78" s="68" t="s">
        <v>36</v>
      </c>
      <c r="B78" s="69"/>
      <c r="C78" s="70"/>
      <c r="D78" s="16">
        <f>D72+D77</f>
        <v>1022.521617775462</v>
      </c>
      <c r="E78" s="14" t="s">
        <v>13</v>
      </c>
      <c r="F78" s="15">
        <f>D78*1000000/($C$50+C65/1000)</f>
        <v>5061.876982436871</v>
      </c>
      <c r="G78" s="14" t="s">
        <v>15</v>
      </c>
    </row>
  </sheetData>
  <mergeCells count="16">
    <mergeCell ref="A73:G73"/>
    <mergeCell ref="A77:C77"/>
    <mergeCell ref="A78:C78"/>
    <mergeCell ref="A47:G47"/>
    <mergeCell ref="A48:G48"/>
    <mergeCell ref="D49:E49"/>
    <mergeCell ref="F49:G49"/>
    <mergeCell ref="A70:C70"/>
    <mergeCell ref="A72:C72"/>
    <mergeCell ref="A2:C2"/>
    <mergeCell ref="A3:C3"/>
    <mergeCell ref="A24:G24"/>
    <mergeCell ref="I24:R24"/>
    <mergeCell ref="A25:C25"/>
    <mergeCell ref="D25:E25"/>
    <mergeCell ref="F25:G2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R63"/>
  <sheetViews>
    <sheetView topLeftCell="A5" zoomScale="55" zoomScaleNormal="55" workbookViewId="0">
      <selection activeCell="A63" sqref="A63:C63"/>
    </sheetView>
  </sheetViews>
  <sheetFormatPr defaultRowHeight="14.25" x14ac:dyDescent="0.45"/>
  <cols>
    <col min="1" max="1" width="40" bestFit="1" customWidth="1"/>
    <col min="2" max="2" width="10.265625" customWidth="1"/>
    <col min="3" max="3" width="17.59765625" customWidth="1"/>
    <col min="4" max="4" width="15.86328125" customWidth="1"/>
    <col min="6" max="6" width="12.86328125" customWidth="1"/>
    <col min="7" max="7" width="11.86328125" customWidth="1"/>
    <col min="9" max="9" width="9.1328125" customWidth="1"/>
  </cols>
  <sheetData>
    <row r="2" spans="1:8" x14ac:dyDescent="0.45">
      <c r="A2" s="57" t="s">
        <v>143</v>
      </c>
      <c r="B2" s="57"/>
      <c r="C2" s="57"/>
      <c r="E2" s="29"/>
    </row>
    <row r="3" spans="1:8" ht="15.75" x14ac:dyDescent="0.5">
      <c r="A3" s="56" t="s">
        <v>12</v>
      </c>
      <c r="B3" s="56"/>
      <c r="C3" s="56"/>
      <c r="E3" s="42" t="s">
        <v>99</v>
      </c>
    </row>
    <row r="4" spans="1:8" x14ac:dyDescent="0.45">
      <c r="A4" s="5" t="s">
        <v>4</v>
      </c>
      <c r="B4" s="6" t="s">
        <v>14</v>
      </c>
      <c r="C4" s="30">
        <f>'INPUTS - SUMMARY'!C4</f>
        <v>100000</v>
      </c>
      <c r="E4" s="40" t="s">
        <v>102</v>
      </c>
    </row>
    <row r="5" spans="1:8" x14ac:dyDescent="0.45">
      <c r="A5" s="5" t="str">
        <f>'INPUTS - SUMMARY'!A5</f>
        <v>Solar Field Aperture Area (Mirror Area)</v>
      </c>
      <c r="B5" s="6" t="str">
        <f>'INPUTS - SUMMARY'!B5</f>
        <v>m2</v>
      </c>
      <c r="C5" s="30">
        <f>'INPUTS - SUMMARY'!C5</f>
        <v>1639087.1040000001</v>
      </c>
      <c r="F5" s="46" t="s">
        <v>123</v>
      </c>
      <c r="G5" s="40">
        <v>1</v>
      </c>
      <c r="H5" s="40" t="s">
        <v>125</v>
      </c>
    </row>
    <row r="6" spans="1:8" x14ac:dyDescent="0.45">
      <c r="A6" s="5" t="s">
        <v>9</v>
      </c>
      <c r="B6" s="6" t="s">
        <v>10</v>
      </c>
      <c r="C6" s="30">
        <f>'INPUTS - SUMMARY'!C6</f>
        <v>8000</v>
      </c>
      <c r="F6" s="46" t="s">
        <v>124</v>
      </c>
      <c r="G6" s="40">
        <v>1.75</v>
      </c>
      <c r="H6" s="40" t="s">
        <v>125</v>
      </c>
    </row>
    <row r="7" spans="1:8" x14ac:dyDescent="0.45">
      <c r="A7" s="5" t="s">
        <v>3</v>
      </c>
      <c r="B7" s="6" t="s">
        <v>8</v>
      </c>
      <c r="C7" s="30">
        <f>'INPUTS - SUMMARY'!C7</f>
        <v>1456.3109999999999</v>
      </c>
      <c r="F7" s="46"/>
      <c r="G7" s="40"/>
      <c r="H7" s="40"/>
    </row>
    <row r="8" spans="1:8" x14ac:dyDescent="0.45">
      <c r="A8" s="5" t="s">
        <v>5</v>
      </c>
      <c r="B8" s="6" t="s">
        <v>11</v>
      </c>
      <c r="C8" s="30">
        <f>'INPUTS - SUMMARY'!C8</f>
        <v>194.227</v>
      </c>
    </row>
    <row r="9" spans="1:8" x14ac:dyDescent="0.45">
      <c r="A9" s="5" t="s">
        <v>128</v>
      </c>
      <c r="B9" s="6" t="s">
        <v>8</v>
      </c>
      <c r="C9" s="30">
        <f>'INPUTS - SUMMARY'!C9</f>
        <v>500000</v>
      </c>
    </row>
    <row r="10" spans="1:8" x14ac:dyDescent="0.45">
      <c r="A10" s="5" t="s">
        <v>6</v>
      </c>
      <c r="B10" s="6" t="s">
        <v>7</v>
      </c>
      <c r="C10" s="30">
        <f>'INPUTS - SUMMARY'!C10</f>
        <v>10535381.734999999</v>
      </c>
    </row>
    <row r="11" spans="1:8" x14ac:dyDescent="0.45">
      <c r="A11" s="5" t="str">
        <f>'INPUTS - SUMMARY'!A11</f>
        <v>PV Installed Capacity</v>
      </c>
      <c r="B11" s="6" t="str">
        <f>'INPUTS - SUMMARY'!B11</f>
        <v>Wdc</v>
      </c>
      <c r="C11" s="5">
        <f>'INPUTS - SUMMARY'!C11</f>
        <v>102004438.536</v>
      </c>
    </row>
    <row r="12" spans="1:8" x14ac:dyDescent="0.45">
      <c r="A12" s="5" t="s">
        <v>135</v>
      </c>
      <c r="B12" s="6" t="s">
        <v>131</v>
      </c>
      <c r="C12" s="30">
        <f>'INPUTS - SUMMARY'!C12</f>
        <v>0</v>
      </c>
    </row>
    <row r="13" spans="1:8" x14ac:dyDescent="0.45">
      <c r="A13" s="5" t="s">
        <v>136</v>
      </c>
      <c r="B13" s="6" t="s">
        <v>126</v>
      </c>
      <c r="C13" s="30">
        <f>'INPUTS - SUMMARY'!C13</f>
        <v>0</v>
      </c>
    </row>
    <row r="14" spans="1:8" x14ac:dyDescent="0.45">
      <c r="A14" s="5" t="s">
        <v>140</v>
      </c>
      <c r="B14" s="6" t="s">
        <v>62</v>
      </c>
      <c r="C14" s="30">
        <f>'INPUTS - SUMMARY'!C14</f>
        <v>0</v>
      </c>
    </row>
    <row r="15" spans="1:8" x14ac:dyDescent="0.45">
      <c r="A15" s="5" t="str">
        <f>'INPUTS - SUMMARY'!A15</f>
        <v>Land Area PV</v>
      </c>
      <c r="B15" s="6" t="str">
        <f>'INPUTS - SUMMARY'!B15</f>
        <v>m2</v>
      </c>
      <c r="C15" s="5">
        <f>'INPUTS - SUMMARY'!C15</f>
        <v>39278665</v>
      </c>
    </row>
    <row r="16" spans="1:8" x14ac:dyDescent="0.45">
      <c r="A16" s="5" t="str">
        <f>'INPUTS - SUMMARY'!A16</f>
        <v>CSP Annual Generation (for OPEX)</v>
      </c>
      <c r="B16" s="6" t="str">
        <f>'INPUTS - SUMMARY'!B16</f>
        <v>GWh/y</v>
      </c>
      <c r="C16" s="5">
        <f>'INPUTS - SUMMARY'!C16</f>
        <v>302.52</v>
      </c>
    </row>
    <row r="17" spans="1:18" x14ac:dyDescent="0.45">
      <c r="A17" s="5" t="str">
        <f>'INPUTS - SUMMARY'!A17</f>
        <v xml:space="preserve">Distance to Grid </v>
      </c>
      <c r="B17" s="6" t="str">
        <f>'INPUTS - SUMMARY'!B17</f>
        <v>km</v>
      </c>
      <c r="C17" s="5">
        <f>'INPUTS - SUMMARY'!C17</f>
        <v>0</v>
      </c>
    </row>
    <row r="18" spans="1:18" x14ac:dyDescent="0.45">
      <c r="A18" s="5" t="str">
        <f>'INPUTS - SUMMARY'!A18</f>
        <v>Distance to Road</v>
      </c>
      <c r="B18" s="6" t="str">
        <f>'INPUTS - SUMMARY'!B18</f>
        <v>km</v>
      </c>
      <c r="C18" s="5">
        <f>'INPUTS - SUMMARY'!C18</f>
        <v>0</v>
      </c>
    </row>
    <row r="19" spans="1:18" x14ac:dyDescent="0.45">
      <c r="A19" s="5" t="str">
        <f>'INPUTS - SUMMARY'!A19</f>
        <v>Distance to Gas</v>
      </c>
      <c r="B19" s="6" t="str">
        <f>'INPUTS - SUMMARY'!B19</f>
        <v>km</v>
      </c>
      <c r="C19" s="5">
        <f>'INPUTS - SUMMARY'!C19</f>
        <v>0</v>
      </c>
    </row>
    <row r="20" spans="1:18" x14ac:dyDescent="0.45">
      <c r="A20" s="5" t="str">
        <f>'INPUTS - SUMMARY'!A20</f>
        <v>Distance to Water</v>
      </c>
      <c r="B20" s="6" t="str">
        <f>'INPUTS - SUMMARY'!B20</f>
        <v>km</v>
      </c>
      <c r="C20" s="5">
        <f>'INPUTS - SUMMARY'!C20</f>
        <v>0</v>
      </c>
    </row>
    <row r="21" spans="1:18" x14ac:dyDescent="0.45">
      <c r="A21" s="5" t="str">
        <f>'INPUTS - SUMMARY'!A21</f>
        <v>Other Component Size</v>
      </c>
      <c r="B21" s="6" t="str">
        <f>'INPUTS - SUMMARY'!B21</f>
        <v>TBD</v>
      </c>
      <c r="C21" s="5">
        <f>'INPUTS - SUMMARY'!C21</f>
        <v>0</v>
      </c>
    </row>
    <row r="24" spans="1:18" ht="21" x14ac:dyDescent="0.65">
      <c r="A24" s="57" t="s">
        <v>41</v>
      </c>
      <c r="B24" s="57"/>
      <c r="C24" s="57"/>
      <c r="D24" s="57"/>
      <c r="E24" s="57"/>
      <c r="F24" s="57"/>
      <c r="G24" s="57"/>
      <c r="I24" s="58" t="s">
        <v>56</v>
      </c>
      <c r="J24" s="58"/>
      <c r="K24" s="58"/>
      <c r="L24" s="58"/>
      <c r="M24" s="58"/>
      <c r="N24" s="58"/>
      <c r="O24" s="58"/>
      <c r="P24" s="58"/>
      <c r="Q24" s="58"/>
      <c r="R24" s="58"/>
    </row>
    <row r="25" spans="1:18" ht="18" x14ac:dyDescent="0.55000000000000004">
      <c r="A25" s="76" t="s">
        <v>45</v>
      </c>
      <c r="B25" s="76"/>
      <c r="C25" s="76"/>
      <c r="D25" s="76"/>
      <c r="E25" s="76"/>
      <c r="F25" s="76"/>
      <c r="G25" s="76"/>
      <c r="I25" s="20"/>
      <c r="J25" s="20"/>
      <c r="K25" s="20"/>
      <c r="L25" s="21"/>
      <c r="M25" s="22" t="s">
        <v>39</v>
      </c>
      <c r="N25" s="18">
        <f>D63</f>
        <v>7.2626549455261147</v>
      </c>
      <c r="O25" s="21" t="s">
        <v>13</v>
      </c>
      <c r="P25" s="20"/>
      <c r="Q25" s="20"/>
      <c r="R25" s="20"/>
    </row>
    <row r="26" spans="1:18" x14ac:dyDescent="0.45">
      <c r="A26" s="59" t="s">
        <v>12</v>
      </c>
      <c r="B26" s="60"/>
      <c r="C26" s="61"/>
      <c r="D26" s="56" t="s">
        <v>0</v>
      </c>
      <c r="E26" s="56"/>
      <c r="F26" s="56" t="s">
        <v>16</v>
      </c>
      <c r="G26" s="56"/>
      <c r="L26" s="31"/>
      <c r="M26" s="32"/>
      <c r="N26" s="33"/>
      <c r="O26" s="31"/>
      <c r="P26" s="34"/>
      <c r="Q26" s="35"/>
    </row>
    <row r="27" spans="1:18" x14ac:dyDescent="0.45">
      <c r="A27" s="5" t="s">
        <v>46</v>
      </c>
      <c r="B27" s="6" t="s">
        <v>14</v>
      </c>
      <c r="C27" s="2">
        <v>110000</v>
      </c>
      <c r="D27" s="3">
        <v>196100</v>
      </c>
      <c r="E27" s="6" t="s">
        <v>44</v>
      </c>
      <c r="F27" s="4">
        <f>D27/(C27)</f>
        <v>1.7827272727272727</v>
      </c>
      <c r="G27" s="6" t="s">
        <v>15</v>
      </c>
    </row>
    <row r="28" spans="1:18" x14ac:dyDescent="0.45">
      <c r="A28" s="5" t="s">
        <v>42</v>
      </c>
      <c r="B28" s="6" t="s">
        <v>14</v>
      </c>
      <c r="C28" s="2">
        <v>110000</v>
      </c>
      <c r="D28" s="3">
        <v>1335600</v>
      </c>
      <c r="E28" s="6" t="s">
        <v>44</v>
      </c>
      <c r="F28" s="4">
        <f>D28/(C28)</f>
        <v>12.141818181818183</v>
      </c>
      <c r="G28" s="6" t="s">
        <v>15</v>
      </c>
    </row>
    <row r="29" spans="1:18" x14ac:dyDescent="0.45">
      <c r="A29" s="5" t="s">
        <v>43</v>
      </c>
      <c r="B29" s="6" t="s">
        <v>14</v>
      </c>
      <c r="C29" s="2">
        <v>110000</v>
      </c>
      <c r="D29" s="3">
        <v>286200</v>
      </c>
      <c r="E29" s="6" t="s">
        <v>44</v>
      </c>
      <c r="F29" s="4">
        <f>D29/(C29)</f>
        <v>2.601818181818182</v>
      </c>
      <c r="G29" s="6" t="s">
        <v>15</v>
      </c>
    </row>
    <row r="30" spans="1:18" x14ac:dyDescent="0.45">
      <c r="A30" s="5" t="s">
        <v>1</v>
      </c>
      <c r="B30" s="6" t="s">
        <v>7</v>
      </c>
      <c r="C30" s="2">
        <v>977628</v>
      </c>
      <c r="D30" s="3">
        <v>212000</v>
      </c>
      <c r="E30" s="6" t="s">
        <v>44</v>
      </c>
      <c r="F30" s="4">
        <f>D30/(C30)</f>
        <v>0.21685139950983401</v>
      </c>
      <c r="G30" s="6" t="s">
        <v>17</v>
      </c>
    </row>
    <row r="31" spans="1:18" x14ac:dyDescent="0.45">
      <c r="A31" s="76" t="s">
        <v>47</v>
      </c>
      <c r="B31" s="76"/>
      <c r="C31" s="76"/>
      <c r="D31" s="76"/>
      <c r="E31" s="76"/>
      <c r="F31" s="76"/>
      <c r="G31" s="76"/>
    </row>
    <row r="32" spans="1:18" x14ac:dyDescent="0.45">
      <c r="A32" s="59" t="s">
        <v>12</v>
      </c>
      <c r="B32" s="60"/>
      <c r="C32" s="61"/>
      <c r="D32" s="56" t="s">
        <v>0</v>
      </c>
      <c r="E32" s="56"/>
      <c r="F32" s="56" t="s">
        <v>16</v>
      </c>
      <c r="G32" s="56"/>
    </row>
    <row r="33" spans="1:7" x14ac:dyDescent="0.45">
      <c r="A33" s="5" t="s">
        <v>48</v>
      </c>
      <c r="B33" s="6" t="str">
        <f>B16</f>
        <v>GWh/y</v>
      </c>
      <c r="C33" s="2">
        <v>516</v>
      </c>
      <c r="D33" s="3">
        <v>227900</v>
      </c>
      <c r="E33" s="6" t="s">
        <v>44</v>
      </c>
      <c r="F33" s="4">
        <f>D33/(C33)</f>
        <v>441.66666666666669</v>
      </c>
      <c r="G33" s="6" t="s">
        <v>65</v>
      </c>
    </row>
    <row r="34" spans="1:7" x14ac:dyDescent="0.45">
      <c r="A34" s="5" t="str">
        <f>A12</f>
        <v>Battery Pack Power (Max Rated)</v>
      </c>
      <c r="B34" s="6" t="str">
        <f>B12</f>
        <v>MW</v>
      </c>
      <c r="C34" s="2">
        <f>1/1000</f>
        <v>1E-3</v>
      </c>
      <c r="D34" s="3">
        <v>6.9</v>
      </c>
      <c r="E34" s="6" t="s">
        <v>44</v>
      </c>
      <c r="F34" s="4">
        <f>D34/(C34*1000)</f>
        <v>6.9</v>
      </c>
      <c r="G34" s="6" t="s">
        <v>15</v>
      </c>
    </row>
    <row r="35" spans="1:7" x14ac:dyDescent="0.45">
      <c r="A35" s="5" t="str">
        <f>A14</f>
        <v>Battery Annual Generation (for OPEX)</v>
      </c>
      <c r="B35" s="6" t="str">
        <f>B14</f>
        <v>GWh/y</v>
      </c>
      <c r="C35" s="2">
        <f>1/1000</f>
        <v>1E-3</v>
      </c>
      <c r="D35" s="3">
        <v>2.1</v>
      </c>
      <c r="E35" s="6" t="s">
        <v>44</v>
      </c>
      <c r="F35" s="4">
        <f>D35/(C35*1000)</f>
        <v>2.1</v>
      </c>
      <c r="G35" s="6" t="s">
        <v>144</v>
      </c>
    </row>
    <row r="36" spans="1:7" x14ac:dyDescent="0.45">
      <c r="A36" s="76" t="s">
        <v>49</v>
      </c>
      <c r="B36" s="76"/>
      <c r="C36" s="76"/>
      <c r="D36" s="76"/>
      <c r="E36" s="76"/>
      <c r="F36" s="76"/>
      <c r="G36" s="76"/>
    </row>
    <row r="37" spans="1:7" x14ac:dyDescent="0.45">
      <c r="A37" s="59" t="s">
        <v>12</v>
      </c>
      <c r="B37" s="60"/>
      <c r="C37" s="61"/>
      <c r="D37" s="56" t="s">
        <v>0</v>
      </c>
      <c r="E37" s="56"/>
      <c r="F37" s="56" t="s">
        <v>16</v>
      </c>
      <c r="G37" s="56"/>
    </row>
    <row r="38" spans="1:7" x14ac:dyDescent="0.45">
      <c r="A38" s="5" t="s">
        <v>51</v>
      </c>
      <c r="B38" s="6" t="s">
        <v>14</v>
      </c>
      <c r="C38" s="2">
        <v>110000</v>
      </c>
      <c r="D38" s="3">
        <v>1431000</v>
      </c>
      <c r="E38" s="6" t="s">
        <v>44</v>
      </c>
      <c r="F38" s="4">
        <f>D38/(C38)</f>
        <v>13.00909090909091</v>
      </c>
      <c r="G38" s="6" t="s">
        <v>15</v>
      </c>
    </row>
    <row r="39" spans="1:7" x14ac:dyDescent="0.45">
      <c r="A39" s="5" t="s">
        <v>52</v>
      </c>
      <c r="B39" s="6" t="s">
        <v>14</v>
      </c>
      <c r="C39" s="2">
        <v>110000</v>
      </c>
      <c r="D39" s="3">
        <v>1025232</v>
      </c>
      <c r="E39" s="6" t="s">
        <v>44</v>
      </c>
      <c r="F39" s="4">
        <f>D39/(C39)</f>
        <v>9.3202909090909092</v>
      </c>
      <c r="G39" s="6" t="s">
        <v>15</v>
      </c>
    </row>
    <row r="40" spans="1:7" x14ac:dyDescent="0.45">
      <c r="A40" s="77" t="s">
        <v>2</v>
      </c>
      <c r="B40" s="76"/>
      <c r="C40" s="76"/>
      <c r="D40" s="76"/>
      <c r="E40" s="76"/>
      <c r="F40" s="76"/>
      <c r="G40" s="78"/>
    </row>
    <row r="41" spans="1:7" x14ac:dyDescent="0.45">
      <c r="A41" s="56" t="s">
        <v>12</v>
      </c>
      <c r="B41" s="56"/>
      <c r="C41" s="56"/>
      <c r="D41" s="56" t="s">
        <v>0</v>
      </c>
      <c r="E41" s="56"/>
      <c r="F41" s="56" t="s">
        <v>16</v>
      </c>
      <c r="G41" s="56"/>
    </row>
    <row r="42" spans="1:7" x14ac:dyDescent="0.45">
      <c r="A42" s="48" t="s">
        <v>150</v>
      </c>
      <c r="B42" s="50" t="s">
        <v>28</v>
      </c>
      <c r="C42" s="49">
        <v>1</v>
      </c>
      <c r="D42" s="49">
        <v>0</v>
      </c>
      <c r="E42" s="50" t="s">
        <v>44</v>
      </c>
      <c r="F42" s="4">
        <f>D42/(C42)</f>
        <v>0</v>
      </c>
      <c r="G42" s="50" t="s">
        <v>148</v>
      </c>
    </row>
    <row r="43" spans="1:7" x14ac:dyDescent="0.45">
      <c r="A43" s="5" t="s">
        <v>53</v>
      </c>
      <c r="B43" s="6" t="s">
        <v>14</v>
      </c>
      <c r="C43" s="2">
        <v>110000</v>
      </c>
      <c r="D43" s="3">
        <v>216240</v>
      </c>
      <c r="E43" s="6" t="s">
        <v>44</v>
      </c>
      <c r="F43" s="4">
        <f>D43/(C43)</f>
        <v>1.9658181818181819</v>
      </c>
      <c r="G43" s="6" t="s">
        <v>15</v>
      </c>
    </row>
    <row r="44" spans="1:7" x14ac:dyDescent="0.45">
      <c r="A44" s="5" t="s">
        <v>50</v>
      </c>
      <c r="B44" s="6" t="s">
        <v>14</v>
      </c>
      <c r="C44" s="2">
        <v>516</v>
      </c>
      <c r="D44" s="3">
        <v>1331360</v>
      </c>
      <c r="E44" s="6" t="s">
        <v>44</v>
      </c>
      <c r="F44" s="4">
        <f>D44/(C44)</f>
        <v>2580.1550387596899</v>
      </c>
      <c r="G44" s="6" t="s">
        <v>15</v>
      </c>
    </row>
    <row r="47" spans="1:7" x14ac:dyDescent="0.45">
      <c r="A47" s="71" t="s">
        <v>63</v>
      </c>
      <c r="B47" s="72"/>
      <c r="C47" s="72"/>
      <c r="D47" s="72"/>
      <c r="E47" s="72"/>
      <c r="F47" s="72"/>
      <c r="G47" s="73"/>
    </row>
    <row r="48" spans="1:7" x14ac:dyDescent="0.45">
      <c r="A48" s="62" t="s">
        <v>64</v>
      </c>
      <c r="B48" s="63"/>
      <c r="C48" s="63"/>
      <c r="D48" s="63"/>
      <c r="E48" s="63"/>
      <c r="F48" s="63"/>
      <c r="G48" s="64"/>
    </row>
    <row r="49" spans="1:7" x14ac:dyDescent="0.45">
      <c r="A49" s="5" t="s">
        <v>54</v>
      </c>
      <c r="B49" s="5" t="s">
        <v>25</v>
      </c>
      <c r="C49" s="5" t="s">
        <v>27</v>
      </c>
      <c r="D49" s="59" t="s">
        <v>26</v>
      </c>
      <c r="E49" s="61"/>
      <c r="F49" s="59" t="s">
        <v>31</v>
      </c>
      <c r="G49" s="61"/>
    </row>
    <row r="50" spans="1:7" x14ac:dyDescent="0.45">
      <c r="A50" s="5" t="s">
        <v>84</v>
      </c>
      <c r="B50" s="9">
        <v>1</v>
      </c>
      <c r="C50" s="1">
        <f>C4</f>
        <v>100000</v>
      </c>
      <c r="D50" s="4">
        <f>D27*(C50/C27)^B50</f>
        <v>178272.72727272726</v>
      </c>
      <c r="E50" s="6" t="s">
        <v>44</v>
      </c>
      <c r="F50" s="4">
        <f t="shared" ref="F50:F58" si="0">D50/C50</f>
        <v>1.7827272727272727</v>
      </c>
      <c r="G50" s="6" t="s">
        <v>15</v>
      </c>
    </row>
    <row r="51" spans="1:7" x14ac:dyDescent="0.45">
      <c r="A51" s="5" t="s">
        <v>85</v>
      </c>
      <c r="B51" s="9">
        <v>0.7</v>
      </c>
      <c r="C51" s="1">
        <f>C4</f>
        <v>100000</v>
      </c>
      <c r="D51" s="4">
        <f>D28*(C51/C28)^B51</f>
        <v>1249400.0838934677</v>
      </c>
      <c r="E51" s="6" t="s">
        <v>44</v>
      </c>
      <c r="F51" s="4">
        <f t="shared" si="0"/>
        <v>12.494000838934676</v>
      </c>
      <c r="G51" s="6" t="s">
        <v>15</v>
      </c>
    </row>
    <row r="52" spans="1:7" x14ac:dyDescent="0.45">
      <c r="A52" s="5" t="s">
        <v>86</v>
      </c>
      <c r="B52" s="9">
        <v>0.7</v>
      </c>
      <c r="C52" s="1">
        <f>C4</f>
        <v>100000</v>
      </c>
      <c r="D52" s="4">
        <f>D29*(C52/C29)^B52</f>
        <v>267728.58940574306</v>
      </c>
      <c r="E52" s="6" t="s">
        <v>44</v>
      </c>
      <c r="F52" s="4">
        <f t="shared" si="0"/>
        <v>2.6772858940574307</v>
      </c>
      <c r="G52" s="6" t="s">
        <v>15</v>
      </c>
    </row>
    <row r="53" spans="1:7" x14ac:dyDescent="0.45">
      <c r="A53" s="5" t="s">
        <v>87</v>
      </c>
      <c r="B53" s="9">
        <v>1</v>
      </c>
      <c r="C53" s="1">
        <f>C5</f>
        <v>1639087.1040000001</v>
      </c>
      <c r="D53" s="4">
        <f>D30*(C53/C30)^B53</f>
        <v>355438.33242092084</v>
      </c>
      <c r="E53" s="6" t="s">
        <v>44</v>
      </c>
      <c r="F53" s="4">
        <f t="shared" si="0"/>
        <v>0.21685139950983401</v>
      </c>
      <c r="G53" s="6" t="s">
        <v>17</v>
      </c>
    </row>
    <row r="54" spans="1:7" x14ac:dyDescent="0.45">
      <c r="A54" s="5" t="s">
        <v>88</v>
      </c>
      <c r="B54" s="9">
        <v>0.7</v>
      </c>
      <c r="C54" s="1">
        <f>C16</f>
        <v>302.52</v>
      </c>
      <c r="D54" s="4">
        <f>D33*(C54/C33)^B54</f>
        <v>156825.75905416059</v>
      </c>
      <c r="E54" s="6" t="s">
        <v>44</v>
      </c>
      <c r="F54" s="4">
        <f>D54/C54</f>
        <v>518.39798708898786</v>
      </c>
      <c r="G54" s="6" t="s">
        <v>65</v>
      </c>
    </row>
    <row r="55" spans="1:7" x14ac:dyDescent="0.45">
      <c r="A55" s="5" t="s">
        <v>97</v>
      </c>
      <c r="B55" s="9">
        <v>1</v>
      </c>
      <c r="C55" s="1">
        <f>C4</f>
        <v>100000</v>
      </c>
      <c r="D55" s="4">
        <f>D38*(C55/C38)^B55</f>
        <v>1300909.0909090908</v>
      </c>
      <c r="E55" s="6" t="s">
        <v>44</v>
      </c>
      <c r="F55" s="4">
        <f t="shared" si="0"/>
        <v>13.009090909090908</v>
      </c>
      <c r="G55" s="6" t="s">
        <v>15</v>
      </c>
    </row>
    <row r="56" spans="1:7" x14ac:dyDescent="0.45">
      <c r="A56" s="5" t="s">
        <v>98</v>
      </c>
      <c r="B56" s="9">
        <v>1</v>
      </c>
      <c r="C56" s="1">
        <f>C4</f>
        <v>100000</v>
      </c>
      <c r="D56" s="4">
        <f>D39*(C56/C39)^B56</f>
        <v>932029.09090909082</v>
      </c>
      <c r="E56" s="6" t="s">
        <v>44</v>
      </c>
      <c r="F56" s="4">
        <f t="shared" si="0"/>
        <v>9.3202909090909074</v>
      </c>
      <c r="G56" s="6" t="s">
        <v>15</v>
      </c>
    </row>
    <row r="57" spans="1:7" x14ac:dyDescent="0.45">
      <c r="A57" s="5" t="s">
        <v>89</v>
      </c>
      <c r="B57" s="9">
        <v>0.7</v>
      </c>
      <c r="C57" s="1">
        <f>C4</f>
        <v>100000</v>
      </c>
      <c r="D57" s="4">
        <f>D43*(C57/C43)^B57</f>
        <v>202283.82310656144</v>
      </c>
      <c r="E57" s="6" t="s">
        <v>44</v>
      </c>
      <c r="F57" s="4">
        <f t="shared" si="0"/>
        <v>2.0228382310656143</v>
      </c>
      <c r="G57" s="6" t="s">
        <v>15</v>
      </c>
    </row>
    <row r="58" spans="1:7" x14ac:dyDescent="0.45">
      <c r="A58" s="5" t="s">
        <v>90</v>
      </c>
      <c r="B58" s="9">
        <v>0.7</v>
      </c>
      <c r="C58" s="1">
        <f>C16</f>
        <v>302.52</v>
      </c>
      <c r="D58" s="4">
        <f>D44*(C58/C44)^B58</f>
        <v>916154.20173035213</v>
      </c>
      <c r="E58" s="6" t="s">
        <v>44</v>
      </c>
      <c r="F58" s="4">
        <f t="shared" si="0"/>
        <v>3028.4087059710173</v>
      </c>
      <c r="G58" s="6" t="s">
        <v>65</v>
      </c>
    </row>
    <row r="59" spans="1:7" x14ac:dyDescent="0.45">
      <c r="A59" s="5" t="s">
        <v>141</v>
      </c>
      <c r="B59" s="9">
        <v>1</v>
      </c>
      <c r="C59" s="1">
        <f>C12</f>
        <v>0</v>
      </c>
      <c r="D59" s="4">
        <f>D34*(C59/C34)^B59</f>
        <v>0</v>
      </c>
      <c r="E59" s="6" t="s">
        <v>44</v>
      </c>
      <c r="F59" s="4" t="e">
        <f>D59/(C59*1000)</f>
        <v>#DIV/0!</v>
      </c>
      <c r="G59" s="6" t="s">
        <v>15</v>
      </c>
    </row>
    <row r="60" spans="1:7" x14ac:dyDescent="0.45">
      <c r="A60" s="5" t="s">
        <v>142</v>
      </c>
      <c r="B60" s="9">
        <v>1</v>
      </c>
      <c r="C60" s="1">
        <f>C14</f>
        <v>0</v>
      </c>
      <c r="D60" s="4">
        <f>D35*(C60/C35)^B60</f>
        <v>0</v>
      </c>
      <c r="E60" s="6" t="s">
        <v>44</v>
      </c>
      <c r="F60" s="4" t="e">
        <f>D60/(C60*1000)</f>
        <v>#DIV/0!</v>
      </c>
      <c r="G60" s="6" t="s">
        <v>144</v>
      </c>
    </row>
    <row r="61" spans="1:7" x14ac:dyDescent="0.45">
      <c r="A61" s="5" t="s">
        <v>151</v>
      </c>
      <c r="B61" s="9">
        <v>1</v>
      </c>
      <c r="C61" s="1">
        <f>C21</f>
        <v>0</v>
      </c>
      <c r="D61" s="4">
        <f>D42*(C61/C42)^B61</f>
        <v>0</v>
      </c>
      <c r="E61" s="6" t="s">
        <v>44</v>
      </c>
      <c r="F61" s="4">
        <f>D61/MAX(0.000001,C61)</f>
        <v>0</v>
      </c>
      <c r="G61" s="6" t="s">
        <v>148</v>
      </c>
    </row>
    <row r="62" spans="1:7" x14ac:dyDescent="0.45">
      <c r="A62" s="5" t="s">
        <v>83</v>
      </c>
      <c r="B62" s="47">
        <f>G5/100</f>
        <v>0.01</v>
      </c>
      <c r="C62" s="1">
        <f>C11</f>
        <v>102004438.536</v>
      </c>
      <c r="D62" s="4">
        <f>SUM(CAPEX!D65:D69)*1000000*B62</f>
        <v>1703613.246824</v>
      </c>
      <c r="E62" s="6" t="s">
        <v>44</v>
      </c>
      <c r="F62" s="4">
        <f>D62/(C62/1000)</f>
        <v>16.701363894304961</v>
      </c>
      <c r="G62" s="6" t="s">
        <v>15</v>
      </c>
    </row>
    <row r="63" spans="1:7" ht="18" x14ac:dyDescent="0.55000000000000004">
      <c r="A63" s="68" t="s">
        <v>55</v>
      </c>
      <c r="B63" s="69"/>
      <c r="C63" s="70"/>
      <c r="D63" s="16">
        <f>SUM(D50:D62)/1000000</f>
        <v>7.2626549455261147</v>
      </c>
      <c r="E63" s="14" t="s">
        <v>13</v>
      </c>
      <c r="F63" s="15">
        <f>D63*1000000/($C$50+C62/1000)</f>
        <v>35.952947361757147</v>
      </c>
      <c r="G63" s="14" t="s">
        <v>15</v>
      </c>
    </row>
  </sheetData>
  <mergeCells count="25">
    <mergeCell ref="A40:G40"/>
    <mergeCell ref="D49:E49"/>
    <mergeCell ref="F49:G49"/>
    <mergeCell ref="A63:C63"/>
    <mergeCell ref="A41:C41"/>
    <mergeCell ref="D41:E41"/>
    <mergeCell ref="F41:G41"/>
    <mergeCell ref="A47:G47"/>
    <mergeCell ref="A48:G48"/>
    <mergeCell ref="A37:C37"/>
    <mergeCell ref="D37:E37"/>
    <mergeCell ref="F37:G37"/>
    <mergeCell ref="A2:C2"/>
    <mergeCell ref="A3:C3"/>
    <mergeCell ref="A24:G24"/>
    <mergeCell ref="A31:G31"/>
    <mergeCell ref="A32:C32"/>
    <mergeCell ref="D32:E32"/>
    <mergeCell ref="F32:G32"/>
    <mergeCell ref="A36:G36"/>
    <mergeCell ref="I24:R24"/>
    <mergeCell ref="A25:G25"/>
    <mergeCell ref="A26:C26"/>
    <mergeCell ref="D26:E26"/>
    <mergeCell ref="F26:G2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 - SUMMARY</vt:lpstr>
      <vt:lpstr>CAPEX</vt:lpstr>
      <vt:lpstr>OPEX</vt:lpstr>
    </vt:vector>
  </TitlesOfParts>
  <Company>KTH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Angel Garcia Frediani</dc:creator>
  <cp:lastModifiedBy>Ardian Candra Pratama</cp:lastModifiedBy>
  <dcterms:created xsi:type="dcterms:W3CDTF">2017-03-15T14:10:39Z</dcterms:created>
  <dcterms:modified xsi:type="dcterms:W3CDTF">2025-11-06T10:01:18Z</dcterms:modified>
</cp:coreProperties>
</file>